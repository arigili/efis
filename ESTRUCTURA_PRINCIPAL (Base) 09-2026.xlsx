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ecpetrol365.sharepoint.com/sites/EFSERVICES/Recursos Humanos/NOMINA 2026/"/>
    </mc:Choice>
  </mc:AlternateContent>
  <xr:revisionPtr revIDLastSave="6224" documentId="8_{F90A654C-B7F6-4514-8F02-10D3EE83D82C}" xr6:coauthVersionLast="47" xr6:coauthVersionMax="47" xr10:uidLastSave="{09019B26-7514-4F03-954D-8E53C7EA7021}"/>
  <bookViews>
    <workbookView xWindow="28680" yWindow="-120" windowWidth="29040" windowHeight="15720" xr2:uid="{35DBE744-FA73-4DEF-9F2A-BCC1A6CB2FD8}"/>
  </bookViews>
  <sheets>
    <sheet name="BASE" sheetId="4" r:id="rId1"/>
    <sheet name="REFERENCIAS " sheetId="8" state="hidden" r:id="rId2"/>
    <sheet name="CECOs" sheetId="5" r:id="rId3"/>
    <sheet name="Sheet1" sheetId="7" state="hidden" r:id="rId4"/>
    <sheet name="Qs" sheetId="2" r:id="rId5"/>
    <sheet name="Mes" sheetId="6" r:id="rId6"/>
    <sheet name="SOLAPAMIENTO" sheetId="3" state="hidden" r:id="rId7"/>
  </sheets>
  <definedNames>
    <definedName name="_xlnm._FilterDatabase" localSheetId="0" hidden="1">BASE!$A$1:$AK$443</definedName>
    <definedName name="_xlnm._FilterDatabase" localSheetId="2" hidden="1">CECOs!$G$1:$I$609</definedName>
    <definedName name="Mes">Mes!$A$2</definedName>
  </definedNames>
  <calcPr calcId="191028"/>
  <pivotCaches>
    <pivotCache cacheId="119" r:id="rId8"/>
    <pivotCache cacheId="12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4" l="1"/>
  <c r="G23" i="4"/>
  <c r="O369" i="4"/>
  <c r="P369" i="4"/>
  <c r="Q369" i="4"/>
  <c r="Q17" i="4"/>
  <c r="P17" i="4"/>
  <c r="O17" i="4"/>
  <c r="O443" i="4"/>
  <c r="P443" i="4"/>
  <c r="Q443" i="4"/>
  <c r="O442" i="4"/>
  <c r="P442" i="4"/>
  <c r="Q442" i="4"/>
  <c r="G59" i="4"/>
  <c r="O59" i="4"/>
  <c r="P59" i="4"/>
  <c r="Q59" i="4"/>
  <c r="O296" i="4"/>
  <c r="Q441" i="4"/>
  <c r="Q440" i="4"/>
  <c r="Q439" i="4"/>
  <c r="Q438" i="4"/>
  <c r="P441" i="4"/>
  <c r="P440" i="4"/>
  <c r="P439" i="4"/>
  <c r="P438" i="4"/>
  <c r="O441" i="4"/>
  <c r="O440" i="4"/>
  <c r="O439" i="4"/>
  <c r="O438" i="4"/>
  <c r="O437" i="4"/>
  <c r="P437" i="4"/>
  <c r="Q437" i="4"/>
  <c r="Q436" i="4"/>
  <c r="Q435" i="4"/>
  <c r="Q434" i="4"/>
  <c r="Q433" i="4"/>
  <c r="Q432" i="4"/>
  <c r="Q431" i="4"/>
  <c r="Q430" i="4"/>
  <c r="Q429" i="4"/>
  <c r="P436" i="4"/>
  <c r="P435" i="4"/>
  <c r="P434" i="4"/>
  <c r="P433" i="4"/>
  <c r="P432" i="4"/>
  <c r="P431" i="4"/>
  <c r="P430" i="4"/>
  <c r="P429" i="4"/>
  <c r="O436" i="4"/>
  <c r="O435" i="4"/>
  <c r="O434" i="4"/>
  <c r="O433" i="4"/>
  <c r="O432" i="4"/>
  <c r="O431" i="4"/>
  <c r="O430" i="4"/>
  <c r="O429" i="4"/>
  <c r="Q428" i="4"/>
  <c r="Q427" i="4"/>
  <c r="Q426" i="4"/>
  <c r="Q425" i="4"/>
  <c r="Q424" i="4"/>
  <c r="Q423" i="4"/>
  <c r="Q422" i="4"/>
  <c r="P428" i="4"/>
  <c r="P427" i="4"/>
  <c r="P426" i="4"/>
  <c r="P425" i="4"/>
  <c r="P424" i="4"/>
  <c r="P423" i="4"/>
  <c r="P422" i="4"/>
  <c r="O428" i="4"/>
  <c r="O427" i="4"/>
  <c r="O426" i="4"/>
  <c r="O425" i="4"/>
  <c r="O424" i="4"/>
  <c r="O423" i="4"/>
  <c r="O422" i="4"/>
  <c r="O421" i="4"/>
  <c r="P421" i="4"/>
  <c r="Q421" i="4"/>
  <c r="O72" i="4"/>
  <c r="P72" i="4"/>
  <c r="Q72" i="4"/>
  <c r="O414" i="4"/>
  <c r="P414" i="4"/>
  <c r="Q414" i="4"/>
  <c r="Q420" i="4"/>
  <c r="P420" i="4"/>
  <c r="O420" i="4"/>
  <c r="Q419" i="4"/>
  <c r="P419" i="4"/>
  <c r="O419" i="4"/>
  <c r="Q416" i="4"/>
  <c r="Q417" i="4"/>
  <c r="Q418" i="4"/>
  <c r="P416" i="4"/>
  <c r="P417" i="4"/>
  <c r="P418" i="4"/>
  <c r="O416" i="4"/>
  <c r="O417" i="4"/>
  <c r="O418" i="4"/>
  <c r="Q415" i="4"/>
  <c r="P415" i="4"/>
  <c r="O415" i="4"/>
  <c r="Q292" i="4"/>
  <c r="P292" i="4"/>
  <c r="O292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60" i="4"/>
  <c r="P61" i="4"/>
  <c r="P62" i="4"/>
  <c r="P63" i="4"/>
  <c r="P64" i="4"/>
  <c r="P65" i="4"/>
  <c r="P66" i="4"/>
  <c r="P67" i="4"/>
  <c r="P68" i="4"/>
  <c r="P69" i="4"/>
  <c r="P70" i="4"/>
  <c r="P71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60" i="4"/>
  <c r="Q61" i="4"/>
  <c r="Q62" i="4"/>
  <c r="Q63" i="4"/>
  <c r="Q64" i="4"/>
  <c r="Q65" i="4"/>
  <c r="Q66" i="4"/>
  <c r="Q67" i="4"/>
  <c r="Q68" i="4"/>
  <c r="Q69" i="4"/>
  <c r="Q70" i="4"/>
  <c r="Q71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O84" i="4"/>
  <c r="O85" i="4"/>
  <c r="O86" i="4"/>
  <c r="O408" i="4"/>
  <c r="O407" i="4"/>
  <c r="O409" i="4"/>
  <c r="O410" i="4"/>
  <c r="O22" i="4"/>
  <c r="O23" i="4"/>
  <c r="O81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11" i="4"/>
  <c r="G412" i="4"/>
  <c r="G413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60" i="4"/>
  <c r="G61" i="4"/>
  <c r="G62" i="4"/>
  <c r="G63" i="4"/>
  <c r="G64" i="4"/>
  <c r="G65" i="4"/>
  <c r="G66" i="4"/>
  <c r="G67" i="4"/>
  <c r="G68" i="4"/>
  <c r="G69" i="4"/>
  <c r="G70" i="4"/>
  <c r="G71" i="4"/>
  <c r="G73" i="4"/>
  <c r="G74" i="4"/>
  <c r="G75" i="4"/>
  <c r="G76" i="4"/>
  <c r="G77" i="4"/>
  <c r="G78" i="4"/>
  <c r="G79" i="4"/>
  <c r="G80" i="4"/>
  <c r="G82" i="4"/>
  <c r="G83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8" i="4"/>
  <c r="G19" i="4"/>
  <c r="G20" i="4"/>
  <c r="G21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3" i="4"/>
  <c r="G2" i="4"/>
  <c r="O412" i="4"/>
  <c r="O413" i="4"/>
  <c r="O411" i="4"/>
  <c r="O406" i="4"/>
  <c r="O405" i="4"/>
  <c r="O404" i="4"/>
  <c r="O382" i="4"/>
  <c r="O400" i="4"/>
  <c r="O401" i="4"/>
  <c r="O402" i="4"/>
  <c r="O403" i="4"/>
  <c r="O9" i="4"/>
  <c r="O10" i="4"/>
  <c r="O21" i="4"/>
  <c r="O79" i="4"/>
  <c r="O80" i="4"/>
  <c r="O82" i="4"/>
  <c r="O83" i="4"/>
  <c r="O108" i="4"/>
  <c r="O33" i="4"/>
  <c r="O34" i="4"/>
  <c r="O327" i="4"/>
  <c r="O353" i="4"/>
  <c r="O398" i="4"/>
  <c r="O399" i="4"/>
  <c r="O77" i="4"/>
  <c r="O78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75" i="4"/>
  <c r="O376" i="4"/>
  <c r="O377" i="4"/>
  <c r="O378" i="4"/>
  <c r="O379" i="4"/>
  <c r="O380" i="4"/>
  <c r="O381" i="4"/>
  <c r="O383" i="4"/>
  <c r="O373" i="4"/>
  <c r="O74" i="4"/>
  <c r="O372" i="4"/>
  <c r="O368" i="4"/>
  <c r="O370" i="4"/>
  <c r="O366" i="4"/>
  <c r="O371" i="4"/>
  <c r="O355" i="4"/>
  <c r="O356" i="4"/>
  <c r="O357" i="4"/>
  <c r="O358" i="4"/>
  <c r="O359" i="4"/>
  <c r="O360" i="4"/>
  <c r="O361" i="4"/>
  <c r="O362" i="4"/>
  <c r="O363" i="4"/>
  <c r="O364" i="4"/>
  <c r="O367" i="4"/>
  <c r="O354" i="4"/>
  <c r="O13" i="4"/>
  <c r="O16" i="4"/>
  <c r="O3" i="4"/>
  <c r="O352" i="4"/>
  <c r="O374" i="4"/>
  <c r="O54" i="4"/>
  <c r="O65" i="4"/>
  <c r="O324" i="4"/>
  <c r="A1" i="6" a="1"/>
  <c r="O336" i="4"/>
  <c r="O38" i="4"/>
  <c r="O71" i="4"/>
  <c r="O15" i="4"/>
  <c r="O332" i="4"/>
  <c r="O333" i="4"/>
  <c r="O334" i="4"/>
  <c r="O335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70" i="4"/>
  <c r="O76" i="4"/>
  <c r="O202" i="4"/>
  <c r="O200" i="4"/>
  <c r="O203" i="4"/>
  <c r="O197" i="4"/>
  <c r="O325" i="4"/>
  <c r="O14" i="4"/>
  <c r="O328" i="4"/>
  <c r="O329" i="4"/>
  <c r="O330" i="4"/>
  <c r="O331" i="4"/>
  <c r="O4" i="4"/>
  <c r="O5" i="4"/>
  <c r="O6" i="4"/>
  <c r="O7" i="4"/>
  <c r="O8" i="4"/>
  <c r="O11" i="4"/>
  <c r="O12" i="4"/>
  <c r="O18" i="4"/>
  <c r="O19" i="4"/>
  <c r="O20" i="4"/>
  <c r="O24" i="4"/>
  <c r="O25" i="4"/>
  <c r="O26" i="4"/>
  <c r="O27" i="4"/>
  <c r="O28" i="4"/>
  <c r="O29" i="4"/>
  <c r="O30" i="4"/>
  <c r="O31" i="4"/>
  <c r="O32" i="4"/>
  <c r="O75" i="4"/>
  <c r="O35" i="4"/>
  <c r="O36" i="4"/>
  <c r="O37" i="4"/>
  <c r="O39" i="4"/>
  <c r="O40" i="4"/>
  <c r="O41" i="4"/>
  <c r="O42" i="4"/>
  <c r="O43" i="4"/>
  <c r="O44" i="4"/>
  <c r="O45" i="4"/>
  <c r="O46" i="4"/>
  <c r="O47" i="4"/>
  <c r="O48" i="4"/>
  <c r="O51" i="4"/>
  <c r="O52" i="4"/>
  <c r="O53" i="4"/>
  <c r="O198" i="4"/>
  <c r="O55" i="4"/>
  <c r="O56" i="4"/>
  <c r="O57" i="4"/>
  <c r="O58" i="4"/>
  <c r="O60" i="4"/>
  <c r="O61" i="4"/>
  <c r="O62" i="4"/>
  <c r="O63" i="4"/>
  <c r="O64" i="4"/>
  <c r="O73" i="4"/>
  <c r="O66" i="4"/>
  <c r="O67" i="4"/>
  <c r="O68" i="4"/>
  <c r="O49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50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69" i="4"/>
  <c r="O326" i="4"/>
  <c r="O205" i="4"/>
  <c r="O206" i="4"/>
  <c r="O323" i="4"/>
  <c r="O201" i="4"/>
  <c r="O199" i="4"/>
  <c r="O204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4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3" i="4"/>
  <c r="O294" i="4"/>
  <c r="O295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2" i="4"/>
  <c r="J11" i="3" l="1"/>
  <c r="J12" i="3"/>
  <c r="J13" i="3"/>
  <c r="J14" i="3"/>
  <c r="J15" i="3"/>
  <c r="J16" i="3"/>
  <c r="J17" i="3"/>
  <c r="J18" i="3"/>
  <c r="J10" i="3"/>
  <c r="A1" i="6" l="1"/>
  <c r="A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tc={3B499A13-7A27-4538-95CC-D7FD8FB94005}</author>
    <author>tc={A974B8C1-1642-42BA-8D54-F5D0C86414B0}</author>
    <author>tc={4F4D2E58-1496-48AE-9259-9BC05140D116}</author>
    <author>tc={8121F8F1-AF16-403C-B9E8-8BAECA3ABBB0}</author>
    <author>tc={22954085-04B5-414E-871A-3BA7439B2F42}</author>
    <author>tc={D62B19E5-C6A6-4748-B389-04C8247FEDCE}</author>
    <author>tc={87E22323-A294-4844-B22F-D3169C047F69}</author>
    <author>tc={90F37DB6-D6A9-40B5-A4E0-C91E4E860670}</author>
    <author>tc={F5A55AA4-11DE-45C0-940D-EC39BB0C338F}</author>
    <author>tc={A271E7CD-FCBC-4B75-9418-C8DE2E216AB0}</author>
    <author>tc={360E8115-7935-4C79-A18E-6876B0BABC8F}</author>
    <author>GILI Arianna</author>
    <author>tc={22A27C39-9EA4-4C34-9D2C-BA71CC2BEBA3}</author>
    <author>tc={4562A081-74AB-4C6F-84A7-F590B249F303}</author>
    <author>tc={AA3739F9-F8C6-4D2C-9DA9-B3D8EF34B48D}</author>
    <author>tc={80552974-71CF-4A00-ABEA-A7E9FB272FBC}</author>
    <author>tc={3BA78346-0115-4CC0-B08C-30BC2AF1C235}</author>
    <author>tc={91BB8C92-5E59-43A1-ABAA-FC55DD23CB8B}</author>
    <author>tc={E117D6F8-1229-44B2-A138-055AB9EB1049}</author>
    <author>tc={DF3CA491-15E5-4629-82FB-8ACD227E9C9E}</author>
    <author>tc={E6AE0C65-0657-4D68-8FAB-BCDC1608FBDB}</author>
    <author>tc={1D8BF459-55CC-4161-85A8-76115124B549}</author>
    <author>tc={BC851157-207A-4E7A-90DE-7AD1868002DE}</author>
    <author>tc={8A92DDD4-50C4-4CCF-915E-96B3BA52AF07}</author>
    <author>tc={7C4265E9-72C4-41C5-918F-E770768BF3E7}</author>
    <author>tc={44C99A09-BE6B-4E78-804F-2ED4AD3308BE}</author>
    <author>tc={ECFA1734-D3F4-4AFB-B90A-4191000F667A}</author>
  </authors>
  <commentList>
    <comment ref="N41" authorId="0" shapeId="0" xr:uid="{3B499A13-7A27-4538-95CC-D7FD8FB940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Renuncia Marchetti 15/9/25</t>
      </text>
    </comment>
    <comment ref="L55" authorId="1" shapeId="0" xr:uid="{A974B8C1-1642-42BA-8D54-F5D0C86414B0}">
      <text>
        <t>[Threaded comment]
Your version of Excel allows you to read this threaded comment; however, any edits to it will get removed if the file is opened in a newer version of Excel. Learn more: https://go.microsoft.com/fwlink/?linkid=870924
Comment:
    DAR DE BAJA POS 1/7/26</t>
      </text>
    </comment>
    <comment ref="N59" authorId="2" shapeId="0" xr:uid="{4F4D2E58-1496-48AE-9259-9BC05140D116}">
      <text>
        <t>[Threaded comment]
Your version of Excel allows you to read this threaded comment; however, any edits to it will get removed if the file is opened in a newer version of Excel. Learn more: https://go.microsoft.com/fwlink/?linkid=870924
Comment:
    DAR DE BAJA POS 1/7/26
Reply:
    se baja con fecha 1/10/26</t>
      </text>
    </comment>
    <comment ref="N69" authorId="3" shapeId="0" xr:uid="{8121F8F1-AF16-403C-B9E8-8BAECA3ABB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LM
</t>
      </text>
    </comment>
    <comment ref="N70" authorId="4" shapeId="0" xr:uid="{22954085-04B5-414E-871A-3BA7439B2F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pase Ocaranza a TECPE </t>
      </text>
    </comment>
    <comment ref="N73" authorId="5" shapeId="0" xr:uid="{D62B19E5-C6A6-4748-B389-04C8247FED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Ezequiel Rodriguez 1/Dic
</t>
      </text>
    </comment>
    <comment ref="N75" authorId="6" shapeId="0" xr:uid="{87E22323-A294-4844-B22F-D3169C047F69}">
      <text>
        <t>[Threaded comment]
Your version of Excel allows you to read this threaded comment; however, any edits to it will get removed if the file is opened in a newer version of Excel. Learn more: https://go.microsoft.com/fwlink/?linkid=870924
Comment:
    desvinculación Carlos Sevillano 31/10</t>
      </text>
    </comment>
    <comment ref="N108" authorId="7" shapeId="0" xr:uid="{90F37DB6-D6A9-40B5-A4E0-C91E4E86067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desvinculación Carlos Sevillano 31/10</t>
      </text>
    </comment>
    <comment ref="N128" authorId="8" shapeId="0" xr:uid="{F5A55AA4-11DE-45C0-940D-EC39BB0C338F}">
      <text>
        <t>[Threaded comment]
Your version of Excel allows you to read this threaded comment; however, any edits to it will get removed if the file is opened in a newer version of Excel. Learn more: https://go.microsoft.com/fwlink/?linkid=870924
Comment:
    ROT por pase de PAMICH a TECPE</t>
      </text>
    </comment>
    <comment ref="N191" authorId="9" shapeId="0" xr:uid="{A271E7CD-FCBC-4B75-9418-C8DE2E216AB0}">
      <text>
        <t>[Threaded comment]
Your version of Excel allows you to read this threaded comment; however, any edits to it will get removed if the file is opened in a newer version of Excel. Learn more: https://go.microsoft.com/fwlink/?linkid=870924
Comment:
    LM</t>
      </text>
    </comment>
    <comment ref="N198" authorId="10" shapeId="0" xr:uid="{360E8115-7935-4C79-A18E-6876B0BABC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Cabrol 14/11
Reply:
    Posición de TLM usada temporalmente para SUP de MTTO FDP
</t>
      </text>
    </comment>
    <comment ref="N207" authorId="11" shapeId="0" xr:uid="{F6C0C673-57F1-4EE6-AE31-5A75CB40FE5B}">
      <text>
        <r>
          <rPr>
            <b/>
            <sz val="11"/>
            <color indexed="81"/>
            <rFont val="Tahoma"/>
            <family val="2"/>
          </rPr>
          <t>GILI Arianna:</t>
        </r>
        <r>
          <rPr>
            <sz val="11"/>
            <color indexed="81"/>
            <rFont val="Tahoma"/>
            <family val="2"/>
          </rPr>
          <t xml:space="preserve">
+1
</t>
        </r>
      </text>
    </comment>
    <comment ref="N209" authorId="11" shapeId="0" xr:uid="{C4656BF8-C759-4837-87D0-F6E531D072FB}">
      <text>
        <r>
          <rPr>
            <b/>
            <sz val="11"/>
            <color indexed="81"/>
            <rFont val="Tahoma"/>
            <family val="2"/>
          </rPr>
          <t>GILI Arianna:</t>
        </r>
        <r>
          <rPr>
            <sz val="11"/>
            <color indexed="81"/>
            <rFont val="Tahoma"/>
            <family val="2"/>
          </rPr>
          <t xml:space="preserve">
baja facundo aguirre 30/12
</t>
        </r>
      </text>
    </comment>
    <comment ref="N274" authorId="12" shapeId="0" xr:uid="{22A27C39-9EA4-4C34-9D2C-BA71CC2BEBA3}">
      <text>
        <t>[Threaded comment]
Your version of Excel allows you to read this threaded comment; however, any edits to it will get removed if the file is opened in a newer version of Excel. Learn more: https://go.microsoft.com/fwlink/?linkid=870924
Comment:
    ROT SANDOVAL MATIAS</t>
      </text>
    </comment>
    <comment ref="N276" authorId="13" shapeId="0" xr:uid="{4562A081-74AB-4C6F-84A7-F590B249F303}">
      <text>
        <t>[Threaded comment]
Your version of Excel allows you to read this threaded comment; however, any edits to it will get removed if the file is opened in a newer version of Excel. Learn more: https://go.microsoft.com/fwlink/?linkid=870924
Comment:
    rot de bohl a TECPE 1/1</t>
      </text>
    </comment>
    <comment ref="N288" authorId="14" shapeId="0" xr:uid="{AA3739F9-F8C6-4D2C-9DA9-B3D8EF34B4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rot Zeni </t>
      </text>
    </comment>
    <comment ref="N294" authorId="15" shapeId="0" xr:uid="{80552974-71CF-4A00-ABEA-A7E9FB272FBC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rot de Konaschuk</t>
      </text>
    </comment>
    <comment ref="N300" authorId="16" shapeId="0" xr:uid="{3BA78346-0115-4CC0-B08C-30BC2AF1C2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reemplazo Diaz Mauricio</t>
      </text>
    </comment>
    <comment ref="N310" authorId="17" shapeId="0" xr:uid="{91BB8C92-5E59-43A1-ABAA-FC55DD23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ingreso 10/12</t>
      </text>
    </comment>
    <comment ref="N340" authorId="18" shapeId="0" xr:uid="{E117D6F8-1229-44B2-A138-055AB9EB1049}">
      <text>
        <t>[Threaded comment]
Your version of Excel allows you to read this threaded comment; however, any edits to it will get removed if the file is opened in a newer version of Excel. Learn more: https://go.microsoft.com/fwlink/?linkid=870924
Comment:
    Salida Logarzo a TECPE 1/6</t>
      </text>
    </comment>
    <comment ref="N342" authorId="19" shapeId="0" xr:uid="{DF3CA491-15E5-4629-82FB-8ACD227E9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renuncia Ramos Roberto</t>
      </text>
    </comment>
    <comment ref="N347" authorId="20" shapeId="0" xr:uid="{E6AE0C65-0657-4D68-8FAB-BCDC1608FB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VACANTE BAJA VAZQUEZ 1/6/26</t>
      </text>
    </comment>
    <comment ref="N348" authorId="21" shapeId="0" xr:uid="{1D8BF459-55CC-4161-85A8-76115124B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 provisoria hasta que tenga un puesto de EA (solicitado en BDGT)</t>
      </text>
    </comment>
    <comment ref="N354" authorId="22" shapeId="0" xr:uid="{BC851157-207A-4E7A-90DE-7AD1868002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17/11
</t>
      </text>
    </comment>
    <comment ref="N369" authorId="23" shapeId="0" xr:uid="{8A92DDD4-50C4-4CCF-915E-96B3BA52AF07}">
      <text>
        <t>[Threaded comment]
Your version of Excel allows you to read this threaded comment; however, any edits to it will get removed if the file is opened in a newer version of Excel. Learn more: https://go.microsoft.com/fwlink/?linkid=870924
Comment:
    +1 por lic maternidad Pichel Danieal</t>
      </text>
    </comment>
    <comment ref="N382" authorId="24" shapeId="0" xr:uid="{7C4265E9-72C4-41C5-918F-E770768BF3E7}">
      <text>
        <t>[Threaded comment]
Your version of Excel allows you to read this threaded comment; however, any edits to it will get removed if the file is opened in a newer version of Excel. Learn more: https://go.microsoft.com/fwlink/?linkid=870924
Comment:
    Ex -pecom</t>
      </text>
    </comment>
    <comment ref="N383" authorId="25" shapeId="0" xr:uid="{44C99A09-BE6B-4E78-804F-2ED4AD3308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vacante, espera cesión de Vetoño Oscar por LM
Reply:
    ingreso 18/Feb
</t>
      </text>
    </comment>
    <comment ref="N405" authorId="26" shapeId="0" xr:uid="{ECFA1734-D3F4-4AFB-B90A-4191000F66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PASE PALOMO A TECPE
Reply:
    Ingreso Ferrari 1/2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<sst xmlns="http://schemas.openxmlformats.org/spreadsheetml/2006/main" count="8637" uniqueCount="1604">
  <si>
    <t>ANIO_NATURAL_MES</t>
  </si>
  <si>
    <t>POSICION</t>
  </si>
  <si>
    <t>DESCRIPCION_POSICION</t>
  </si>
  <si>
    <t>AREA_FUNCIONAL</t>
  </si>
  <si>
    <t>SUB_AREA_FUNCIONAL</t>
  </si>
  <si>
    <t>FUNCION</t>
  </si>
  <si>
    <t>DESCRIPCION_FUNCION</t>
  </si>
  <si>
    <t>ID_META_4</t>
  </si>
  <si>
    <t>SUBDIV_PERSONAL</t>
  </si>
  <si>
    <t>SOCIEDAD</t>
  </si>
  <si>
    <t>NOMBRE_JEFE</t>
  </si>
  <si>
    <t>OBJETO_DE_IMPUTACION</t>
  </si>
  <si>
    <t>PERSONA</t>
  </si>
  <si>
    <t>DESCRIPCION_PERSONA</t>
  </si>
  <si>
    <t>FLAG_LICENCIA</t>
  </si>
  <si>
    <t>NACIONALIDAD</t>
  </si>
  <si>
    <t>USUARIO_DE_RED</t>
  </si>
  <si>
    <t>OPERACION_PIVOT</t>
  </si>
  <si>
    <t>OPERACION_DETALLE</t>
  </si>
  <si>
    <t>UO</t>
  </si>
  <si>
    <t>GERENCIA_JEFATURA</t>
  </si>
  <si>
    <t>WC_BC</t>
  </si>
  <si>
    <t>SEXO</t>
  </si>
  <si>
    <t>RANGO_ETARIO</t>
  </si>
  <si>
    <t>EDAD</t>
  </si>
  <si>
    <t>ANIOS_ANTIGUEDAD</t>
  </si>
  <si>
    <t>GRUPO_ANTIGUEDAD</t>
  </si>
  <si>
    <t>FUENTE</t>
  </si>
  <si>
    <t>HC</t>
  </si>
  <si>
    <t>EA</t>
  </si>
  <si>
    <t>BUDGET</t>
  </si>
  <si>
    <t>ENCUADRE</t>
  </si>
  <si>
    <t>CLUSTER</t>
  </si>
  <si>
    <t>NO_HC</t>
  </si>
  <si>
    <t>CS</t>
  </si>
  <si>
    <t>OL</t>
  </si>
  <si>
    <t>FECHA_ANIVERSARIO_SAP</t>
  </si>
  <si>
    <t>O&amp;M Services Director</t>
  </si>
  <si>
    <t>EFIS</t>
  </si>
  <si>
    <t>DU20916565</t>
  </si>
  <si>
    <t>AR-NEUQUÉN</t>
  </si>
  <si>
    <t>TECPETROL S.A.</t>
  </si>
  <si>
    <t>Mamani Carlos Walter</t>
  </si>
  <si>
    <t>FPF-FN0940</t>
  </si>
  <si>
    <t>Lusso Mauricio Ricardo</t>
  </si>
  <si>
    <t>NQN</t>
  </si>
  <si>
    <t>1005464</t>
  </si>
  <si>
    <t>O&amp;M Services</t>
  </si>
  <si>
    <t>WC</t>
  </si>
  <si>
    <t>Headcount</t>
  </si>
  <si>
    <t>SI</t>
  </si>
  <si>
    <t>O&amp;M Services Sr. Manager</t>
  </si>
  <si>
    <t>DU29109359</t>
  </si>
  <si>
    <t>Fabro Facundo</t>
  </si>
  <si>
    <t>Maintenance Services Manager</t>
  </si>
  <si>
    <t>DU28636995</t>
  </si>
  <si>
    <t>Batallan Pablo Alejandro</t>
  </si>
  <si>
    <t>1016733</t>
  </si>
  <si>
    <t>Operations Services Manager</t>
  </si>
  <si>
    <t>DU33774464</t>
  </si>
  <si>
    <t>Beloqui Leandro</t>
  </si>
  <si>
    <t>1016735</t>
  </si>
  <si>
    <t>O&amp;M Optimization Process Analyst</t>
  </si>
  <si>
    <t>DU40927304</t>
  </si>
  <si>
    <t>Gili Arianna</t>
  </si>
  <si>
    <t>1016737</t>
  </si>
  <si>
    <t>Maintenance Services Coordinator</t>
  </si>
  <si>
    <t>DU28063207</t>
  </si>
  <si>
    <t>Energy Field Services</t>
  </si>
  <si>
    <t>EFR-FN0920</t>
  </si>
  <si>
    <t xml:space="preserve">Huarte Esteban </t>
  </si>
  <si>
    <t>Operations Services Coordinator</t>
  </si>
  <si>
    <t>DU32090502</t>
  </si>
  <si>
    <t>Cordova Daniela Emiliana</t>
  </si>
  <si>
    <t>DU34666188</t>
  </si>
  <si>
    <t>Altamiranda Leandro Damian</t>
  </si>
  <si>
    <t>Production Services Coordinator</t>
  </si>
  <si>
    <t>DU24131475</t>
  </si>
  <si>
    <t>Lopez Rodrigo Gaston</t>
  </si>
  <si>
    <t>EFR-FN2007</t>
  </si>
  <si>
    <t>Macias Ceferino Oscar</t>
  </si>
  <si>
    <t>Plants Services Coordinator</t>
  </si>
  <si>
    <t>DU32195174</t>
  </si>
  <si>
    <t>EFR-FN0900</t>
  </si>
  <si>
    <t>Bechara Lucas Antonio</t>
  </si>
  <si>
    <t>DU30191811</t>
  </si>
  <si>
    <t>Casal Gustavo Daniel</t>
  </si>
  <si>
    <t>Technical Training Specialist</t>
  </si>
  <si>
    <t>DU36800803</t>
  </si>
  <si>
    <t>Poblete Matias Ezequiel</t>
  </si>
  <si>
    <t>Oficial Especializado de Oficios</t>
  </si>
  <si>
    <t>DU47368614</t>
  </si>
  <si>
    <t>EFF-FP0921</t>
  </si>
  <si>
    <t>Gonzalez Mendez Simon</t>
  </si>
  <si>
    <t>Maintenance</t>
  </si>
  <si>
    <t>BC</t>
  </si>
  <si>
    <t>Maintenance Supervisor</t>
  </si>
  <si>
    <t>DU40778151</t>
  </si>
  <si>
    <t>Segura Alejandro</t>
  </si>
  <si>
    <t>EFF-FN1000</t>
  </si>
  <si>
    <t xml:space="preserve">Gazzola Ezequiel </t>
  </si>
  <si>
    <t>O&amp;M Planning Analyst</t>
  </si>
  <si>
    <t>DU41254675</t>
  </si>
  <si>
    <t>Baza Coseani Luisina</t>
  </si>
  <si>
    <t>O&amp;M Planning trainee</t>
  </si>
  <si>
    <t>DU46293912</t>
  </si>
  <si>
    <t>Vidic Alenka</t>
  </si>
  <si>
    <t>Accounts Payable Analyst</t>
  </si>
  <si>
    <t>DU43137970</t>
  </si>
  <si>
    <t>Romano Mariano Bruno</t>
  </si>
  <si>
    <t>Sandalich Victoria</t>
  </si>
  <si>
    <t>1000268</t>
  </si>
  <si>
    <t>Adm. &amp; Finance Neuquén</t>
  </si>
  <si>
    <t>HRBP Analyst</t>
  </si>
  <si>
    <t>DU39076574</t>
  </si>
  <si>
    <t>Corbalan Federico Martin</t>
  </si>
  <si>
    <t>EFR-FN0941</t>
  </si>
  <si>
    <t>Barrera Anahi Malen</t>
  </si>
  <si>
    <t>Human Resources</t>
  </si>
  <si>
    <t>HRBP Sr. Analyst</t>
  </si>
  <si>
    <t>DU36801186</t>
  </si>
  <si>
    <t>Tarifeño Ernesto Eduardo</t>
  </si>
  <si>
    <t>DU36257444</t>
  </si>
  <si>
    <t>Soria Agustin Gabriel</t>
  </si>
  <si>
    <t>DU43084808</t>
  </si>
  <si>
    <t>Ulla Milagros</t>
  </si>
  <si>
    <t>Labor Relations Expert</t>
  </si>
  <si>
    <t>Gaisch Alejandro Hector</t>
  </si>
  <si>
    <t>Vacante RL Sep/26</t>
  </si>
  <si>
    <t>Labor Relations &amp; CORE</t>
  </si>
  <si>
    <t>DU30264777</t>
  </si>
  <si>
    <t>Seguel Maria Fernanda</t>
  </si>
  <si>
    <t>1010254</t>
  </si>
  <si>
    <t>Quality Analyst</t>
  </si>
  <si>
    <t>DU36010010</t>
  </si>
  <si>
    <t>Seri Walter Omar</t>
  </si>
  <si>
    <t>Campora Camila María</t>
  </si>
  <si>
    <t>1013992</t>
  </si>
  <si>
    <t>Quality</t>
  </si>
  <si>
    <t>General Services Supervisor</t>
  </si>
  <si>
    <t>DU33067280</t>
  </si>
  <si>
    <t>Zuluaga Gabriel</t>
  </si>
  <si>
    <t>Rizzo Sebastian</t>
  </si>
  <si>
    <t>General Services</t>
  </si>
  <si>
    <t>HSE Sr. Supervisor</t>
  </si>
  <si>
    <t>DU36669185</t>
  </si>
  <si>
    <t>Chazarreta Jose Antonio</t>
  </si>
  <si>
    <t>EFR-FN0945</t>
  </si>
  <si>
    <t>Figueroa Franco Martin</t>
  </si>
  <si>
    <t>1005233</t>
  </si>
  <si>
    <t>Health &amp; Safety</t>
  </si>
  <si>
    <t>DU33926407</t>
  </si>
  <si>
    <t>Mora Federico</t>
  </si>
  <si>
    <t>DU28387841</t>
  </si>
  <si>
    <t>Sea Oscar Ariel</t>
  </si>
  <si>
    <t>DU33885206</t>
  </si>
  <si>
    <t>Palma Belen del Milagro</t>
  </si>
  <si>
    <t>DU23918152</t>
  </si>
  <si>
    <t>Lemes Mariana De Los Angeles</t>
  </si>
  <si>
    <t>Huaiquiñir Juan Jose</t>
  </si>
  <si>
    <t>DU28254170</t>
  </si>
  <si>
    <t>Galdame Carlos David</t>
  </si>
  <si>
    <t>DU24260286</t>
  </si>
  <si>
    <t>EFR-2E0970</t>
  </si>
  <si>
    <t>Mercado Mauricio Edgardo</t>
  </si>
  <si>
    <t>DU27841592</t>
  </si>
  <si>
    <t>Fredes Ruben Oscar</t>
  </si>
  <si>
    <t>Medical Assistant</t>
  </si>
  <si>
    <t xml:space="preserve">DU33135662 </t>
  </si>
  <si>
    <t>Martel Maximiliano Jose Tomas</t>
  </si>
  <si>
    <t>Feruglio Adrian Federico</t>
  </si>
  <si>
    <t>DU26638146</t>
  </si>
  <si>
    <t>Schlosser Adolfo Julio</t>
  </si>
  <si>
    <t>Environmental Supervisor</t>
  </si>
  <si>
    <t>DU33316128</t>
  </si>
  <si>
    <t>Carreño Venegas Cecilia</t>
  </si>
  <si>
    <t>Leiva Ricardo Alejandro</t>
  </si>
  <si>
    <t>1010264</t>
  </si>
  <si>
    <t>Environmental</t>
  </si>
  <si>
    <t>Environmental Sr. Supervisor</t>
  </si>
  <si>
    <t>DU36344221</t>
  </si>
  <si>
    <t>Acuña Fernanda Natali</t>
  </si>
  <si>
    <t>Health Auxiliar</t>
  </si>
  <si>
    <t>DU29463906</t>
  </si>
  <si>
    <t>Prieto Beatriz Alejandra</t>
  </si>
  <si>
    <t>Operations Technology Maint. Engineer</t>
  </si>
  <si>
    <t>DU33993061</t>
  </si>
  <si>
    <t>Contreras Fernando Andres</t>
  </si>
  <si>
    <t>EFR-FN0930</t>
  </si>
  <si>
    <t>Crespillo Faur Adrian Alejandro</t>
  </si>
  <si>
    <t>1010274</t>
  </si>
  <si>
    <t xml:space="preserve">DU31806630 </t>
  </si>
  <si>
    <t>Gonzalez Rodrigo Jeremias</t>
  </si>
  <si>
    <t>DU37518969</t>
  </si>
  <si>
    <t>Forconi Enzo Ramiro</t>
  </si>
  <si>
    <t>DU95871315</t>
  </si>
  <si>
    <t>Rodriguez Bordones Marcel Josue</t>
  </si>
  <si>
    <t>DU37943788</t>
  </si>
  <si>
    <t>Lillo Mauricio</t>
  </si>
  <si>
    <t>DU34127114</t>
  </si>
  <si>
    <t>Saenz Emiliano Jesus</t>
  </si>
  <si>
    <t>DU96032842</t>
  </si>
  <si>
    <t>Suarez Jhoana Mariela</t>
  </si>
  <si>
    <t>Operations Technology Eng. Engineer</t>
  </si>
  <si>
    <t>DU31316545</t>
  </si>
  <si>
    <t>Schmidt Brian Eric</t>
  </si>
  <si>
    <t>Marasco Nestor Damian</t>
  </si>
  <si>
    <t>DU39881413</t>
  </si>
  <si>
    <t>Viluron Santiago Ezequiel</t>
  </si>
  <si>
    <t>Integrity Supervisor</t>
  </si>
  <si>
    <t>Diaz Luis Alberto</t>
  </si>
  <si>
    <t>EFR-FN0931</t>
  </si>
  <si>
    <t>Vacante Sup. Integridad</t>
  </si>
  <si>
    <t>Recorredor Especializado</t>
  </si>
  <si>
    <t>DU44103409</t>
  </si>
  <si>
    <t>EFF-LB0901</t>
  </si>
  <si>
    <t>Cheuquel Agustin Gabriel</t>
  </si>
  <si>
    <t>Operations</t>
  </si>
  <si>
    <t>Maintenance Sr. Supervisor</t>
  </si>
  <si>
    <t>DU21381134</t>
  </si>
  <si>
    <t>Sheffield Naiara Eileen</t>
  </si>
  <si>
    <t>EFR-FN0910</t>
  </si>
  <si>
    <t>Olave Omar Luis</t>
  </si>
  <si>
    <t>DU31950417</t>
  </si>
  <si>
    <t>Martinez Marcos</t>
  </si>
  <si>
    <t>DU33476887</t>
  </si>
  <si>
    <t>Mazoue Juan Manuel</t>
  </si>
  <si>
    <t>Bohl Damian Alfredo</t>
  </si>
  <si>
    <t>APROBADA</t>
  </si>
  <si>
    <t>Forte Federico</t>
  </si>
  <si>
    <t>Vacante OT LT2E</t>
  </si>
  <si>
    <t>Plant Lead Supervisor</t>
  </si>
  <si>
    <t>DU25173304</t>
  </si>
  <si>
    <t>Doria Pablo Cesar</t>
  </si>
  <si>
    <t>EFF-FP0911</t>
  </si>
  <si>
    <t>Inostroza Juan Marcelo</t>
  </si>
  <si>
    <t>1012899</t>
  </si>
  <si>
    <t>DU24825640</t>
  </si>
  <si>
    <t>Pedrero Jorge Esteban</t>
  </si>
  <si>
    <t>DU31341714</t>
  </si>
  <si>
    <t>Aguilera Martin Fabian</t>
  </si>
  <si>
    <t>DU24817522</t>
  </si>
  <si>
    <t>Aquin Jorge Alfredo</t>
  </si>
  <si>
    <t>Plant Sr. Supervisor</t>
  </si>
  <si>
    <t>DU27994695</t>
  </si>
  <si>
    <t>Alcantu Bargna Marcelo Luis</t>
  </si>
  <si>
    <t>EFR-FN0960</t>
  </si>
  <si>
    <t>Acuña Israel Maximiliano</t>
  </si>
  <si>
    <t>Production Supervisor</t>
  </si>
  <si>
    <t>DU29861604</t>
  </si>
  <si>
    <t>Baissac Roberto Enrique</t>
  </si>
  <si>
    <t>Mendoza Segundo Rodolfo</t>
  </si>
  <si>
    <t>1016687</t>
  </si>
  <si>
    <t>DU25113792</t>
  </si>
  <si>
    <t>Rivera Jorge David</t>
  </si>
  <si>
    <t>Integrity Lead Engineer</t>
  </si>
  <si>
    <t>DU95753737</t>
  </si>
  <si>
    <t>Pedraza Romero Ingrith Cristina</t>
  </si>
  <si>
    <t>Maintenance Planning Analyst</t>
  </si>
  <si>
    <t>DU32951591</t>
  </si>
  <si>
    <t>Gulayin Mariana Laura</t>
  </si>
  <si>
    <t>EFR-FN0932</t>
  </si>
  <si>
    <t>Zapata Gustavo Ceferino</t>
  </si>
  <si>
    <t>DU30519172</t>
  </si>
  <si>
    <t>Cañaveras Adrian Marcelo</t>
  </si>
  <si>
    <t>Orozco Luciano Nicolas</t>
  </si>
  <si>
    <t>DU32246164</t>
  </si>
  <si>
    <t xml:space="preserve">Corti Ortola Cristian Dario </t>
  </si>
  <si>
    <t>Integrity Lead Supervisor</t>
  </si>
  <si>
    <t>DU22104238</t>
  </si>
  <si>
    <t>Garcia Oscar Ariel</t>
  </si>
  <si>
    <t>DU35834385</t>
  </si>
  <si>
    <t>Kraemer Nicolás</t>
  </si>
  <si>
    <t>Sieben Nicolas</t>
  </si>
  <si>
    <t>Operador Especializado de Plantas</t>
  </si>
  <si>
    <t>DU39129973</t>
  </si>
  <si>
    <t>EFF-FP0907</t>
  </si>
  <si>
    <t>Canales Vanina Daniela</t>
  </si>
  <si>
    <t>HSE Lead Supervisor</t>
  </si>
  <si>
    <t>DU33713574</t>
  </si>
  <si>
    <t>Lopez Favio Nicolas</t>
  </si>
  <si>
    <t>Health &amp; Safety TLM</t>
  </si>
  <si>
    <t>Integrity Engineering Engineer</t>
  </si>
  <si>
    <t>DU38092352</t>
  </si>
  <si>
    <t>Chalop Marcos</t>
  </si>
  <si>
    <t>Maintenance TLM</t>
  </si>
  <si>
    <t>TLM2 Supervisor Mantenimiento</t>
  </si>
  <si>
    <t>EFF-FN1005</t>
  </si>
  <si>
    <t>O&amp;M Control lead analyst</t>
  </si>
  <si>
    <t xml:space="preserve">DU26783746 </t>
  </si>
  <si>
    <t>Muccela Jose Daniel</t>
  </si>
  <si>
    <t>Ingresante sin experiencia</t>
  </si>
  <si>
    <t>EFF-FP0944</t>
  </si>
  <si>
    <t>VACANTE RELEVO VACAS MECÁNICOS</t>
  </si>
  <si>
    <t>RELEVO VACACIONES</t>
  </si>
  <si>
    <t>DU35899723</t>
  </si>
  <si>
    <t>Vicencio Cecilia Stefania</t>
  </si>
  <si>
    <t>Wilton Smith</t>
  </si>
  <si>
    <t>TLM Services Coordinator</t>
  </si>
  <si>
    <t xml:space="preserve">DU41437832 </t>
  </si>
  <si>
    <t>Saffe Julian Agustín</t>
  </si>
  <si>
    <t>Facilities Operations Lead Supervisor</t>
  </si>
  <si>
    <t>DU30824024</t>
  </si>
  <si>
    <t>Carabajal Marcelo</t>
  </si>
  <si>
    <t>EFR-FN2000</t>
  </si>
  <si>
    <t>Orellana Omar Ismael</t>
  </si>
  <si>
    <t>Facilities</t>
  </si>
  <si>
    <t>Chemical Treatment Lead Supervisor</t>
  </si>
  <si>
    <t>DU29554367</t>
  </si>
  <si>
    <t>Carreras Natania</t>
  </si>
  <si>
    <t>Rodriguez Lucas Matias</t>
  </si>
  <si>
    <t xml:space="preserve">DU21389528 </t>
  </si>
  <si>
    <t>EFR-FN2005</t>
  </si>
  <si>
    <t>Bartusch Fabian</t>
  </si>
  <si>
    <t>DU39523923</t>
  </si>
  <si>
    <t>Martinez Juan Manuel</t>
  </si>
  <si>
    <t>DU35382241</t>
  </si>
  <si>
    <t>Cual Roxana</t>
  </si>
  <si>
    <t>Well Services Supervisor</t>
  </si>
  <si>
    <t>DU32352316</t>
  </si>
  <si>
    <t>Buzaglo Sebastian</t>
  </si>
  <si>
    <t>Fiore Marco Cesar</t>
  </si>
  <si>
    <t>DU21750188</t>
  </si>
  <si>
    <t>Lozano Jorge Alberto</t>
  </si>
  <si>
    <t>Sup. Interf y entregas</t>
  </si>
  <si>
    <t>Crespo Luis</t>
  </si>
  <si>
    <t>EFF-2E2002</t>
  </si>
  <si>
    <t>Vacante Sup. Interf/Entregas</t>
  </si>
  <si>
    <t>Operador Especializado Semi Jr. Plantas</t>
  </si>
  <si>
    <t>DU31020868</t>
  </si>
  <si>
    <t>EFF-LB0908</t>
  </si>
  <si>
    <t>Alcaraz Gonzalo Ruben</t>
  </si>
  <si>
    <t>Operador Principal</t>
  </si>
  <si>
    <t>DU27046756</t>
  </si>
  <si>
    <t>Nimbro Andres Alejandro</t>
  </si>
  <si>
    <t>DU26149215</t>
  </si>
  <si>
    <t>Ijurco Jose Luis</t>
  </si>
  <si>
    <t>DU31314191</t>
  </si>
  <si>
    <t>Fuentes Osvaldo Nazareno</t>
  </si>
  <si>
    <t>Ingresante de Plantas</t>
  </si>
  <si>
    <t>DU42910545</t>
  </si>
  <si>
    <t>Sepulveda Miño Matias Ariel</t>
  </si>
  <si>
    <t>DU42518590</t>
  </si>
  <si>
    <t>Abarzua Ruiu Jose Ignacio</t>
  </si>
  <si>
    <t>DU26132258</t>
  </si>
  <si>
    <t>Tapia Dario Andres</t>
  </si>
  <si>
    <t>DU24659935</t>
  </si>
  <si>
    <t>Insulza Sergio Ramon</t>
  </si>
  <si>
    <t>DU33285275</t>
  </si>
  <si>
    <t>Sepulveda Gustavo Andres</t>
  </si>
  <si>
    <t>DU31173446</t>
  </si>
  <si>
    <t>Navarrete Miguel Andres</t>
  </si>
  <si>
    <t>DU35492858</t>
  </si>
  <si>
    <t>Fuentes Guillermo Ivan</t>
  </si>
  <si>
    <t>DU95988960</t>
  </si>
  <si>
    <t>Medina Chourio Luis Guillermo</t>
  </si>
  <si>
    <t>DU16197017</t>
  </si>
  <si>
    <t>Valdez Mario Sergio</t>
  </si>
  <si>
    <t>DU43530857</t>
  </si>
  <si>
    <t>EFF-LB0904</t>
  </si>
  <si>
    <t>Espinoza Jose Luis</t>
  </si>
  <si>
    <t>DU36840081</t>
  </si>
  <si>
    <t>Rebolledo Brian Nahuel</t>
  </si>
  <si>
    <t>Ayudante de Plantas</t>
  </si>
  <si>
    <t>DU24659848</t>
  </si>
  <si>
    <t>EFR-FN0929</t>
  </si>
  <si>
    <t>Gomez Carlos Oscar</t>
  </si>
  <si>
    <t>Administrativo de Almacén</t>
  </si>
  <si>
    <t>DU30584916</t>
  </si>
  <si>
    <t>EFF-FP0942</t>
  </si>
  <si>
    <t>Bilbao Raul Alberto</t>
  </si>
  <si>
    <t>Warehouse</t>
  </si>
  <si>
    <t>Ayudante de Almacén</t>
  </si>
  <si>
    <t>DU36514053</t>
  </si>
  <si>
    <t>Galera Carla Debora</t>
  </si>
  <si>
    <t>DU27238140</t>
  </si>
  <si>
    <t>Solorza Cristian Alejandro</t>
  </si>
  <si>
    <t>DU29027641</t>
  </si>
  <si>
    <t>Jara Jonathan Jose Ariel</t>
  </si>
  <si>
    <t>DU34220747</t>
  </si>
  <si>
    <t>Hernandez Denis Alfredo</t>
  </si>
  <si>
    <t>DU31923558</t>
  </si>
  <si>
    <t>Kissner Nelson  Daniel</t>
  </si>
  <si>
    <t>Recorredor</t>
  </si>
  <si>
    <t>DU32570313</t>
  </si>
  <si>
    <t>Benegas Silvio Sebastian</t>
  </si>
  <si>
    <t>DU38495228</t>
  </si>
  <si>
    <t>Godoy Juan Manuel</t>
  </si>
  <si>
    <t>Recorredor Semi Jr.</t>
  </si>
  <si>
    <t>DU41010522</t>
  </si>
  <si>
    <t>Marin Juan Agustin</t>
  </si>
  <si>
    <t>DU37176013</t>
  </si>
  <si>
    <t>Moreno Maira Ayelen</t>
  </si>
  <si>
    <t>DU37946313</t>
  </si>
  <si>
    <t>Cayhueque Claudio Alejandro</t>
  </si>
  <si>
    <t>DU32746948</t>
  </si>
  <si>
    <t>Reyes Jose Angel</t>
  </si>
  <si>
    <t>DU92945733</t>
  </si>
  <si>
    <t>Castro Cifuentes Roberto Andres</t>
  </si>
  <si>
    <t>DU36712459</t>
  </si>
  <si>
    <t>EFF-LB0923</t>
  </si>
  <si>
    <t>Olmos Matias Emanuel</t>
  </si>
  <si>
    <t>Operador Principal de Cuadrilla</t>
  </si>
  <si>
    <t>DU32292825</t>
  </si>
  <si>
    <t>Meza Daniel Alejandro</t>
  </si>
  <si>
    <t>DU28413149</t>
  </si>
  <si>
    <t>EFF-LB0922</t>
  </si>
  <si>
    <t>Vazquez Diego Augusto</t>
  </si>
  <si>
    <t>DU31099482</t>
  </si>
  <si>
    <t>Lavarini San Roman Cristhian Andres</t>
  </si>
  <si>
    <t>Oficial de Oficios</t>
  </si>
  <si>
    <t>DU41590041</t>
  </si>
  <si>
    <t>EFF-LB0921</t>
  </si>
  <si>
    <t>Diaz Nicolas Nahuel</t>
  </si>
  <si>
    <t>DU23346669</t>
  </si>
  <si>
    <t>Mulbayer Nestor Omar</t>
  </si>
  <si>
    <t>Ayudante de Oficios</t>
  </si>
  <si>
    <t>DU46330132</t>
  </si>
  <si>
    <t>Muñoz Luciano Franco Sebastian</t>
  </si>
  <si>
    <t>DU37101594</t>
  </si>
  <si>
    <t>EFF-LB0925</t>
  </si>
  <si>
    <t>Arancena Leandro Alfredo</t>
  </si>
  <si>
    <t>Oficial Sr. de Oficios</t>
  </si>
  <si>
    <t>DU21626829</t>
  </si>
  <si>
    <t>Cancino Carlos Ruben</t>
  </si>
  <si>
    <t>DU25042689</t>
  </si>
  <si>
    <t>Leguizamon Eusebio</t>
  </si>
  <si>
    <t>DU24392753</t>
  </si>
  <si>
    <t>EFF-FP0925</t>
  </si>
  <si>
    <t>De la Fuente Daniel Antonio</t>
  </si>
  <si>
    <t>DU27739939</t>
  </si>
  <si>
    <t>EFF-AS0908</t>
  </si>
  <si>
    <t>Garayalde Victor Ariel</t>
  </si>
  <si>
    <t>DU37758896</t>
  </si>
  <si>
    <t>Petretto Angel Guillermo</t>
  </si>
  <si>
    <t>DU33941810</t>
  </si>
  <si>
    <t>Pichel Javier Alejandro</t>
  </si>
  <si>
    <t>DU29428368</t>
  </si>
  <si>
    <t>Sanchez Raul Dario</t>
  </si>
  <si>
    <t>DU33302240</t>
  </si>
  <si>
    <t>Caceres Hernan Rodrigo</t>
  </si>
  <si>
    <t>DU17434162</t>
  </si>
  <si>
    <t>Hechenleitner Carlos Walter</t>
  </si>
  <si>
    <t>DU37758974</t>
  </si>
  <si>
    <t>Pichel Daniela Andrea</t>
  </si>
  <si>
    <t>DU39866462</t>
  </si>
  <si>
    <t>Velez Leandro Gabriel</t>
  </si>
  <si>
    <t> Recorredor Especializado</t>
  </si>
  <si>
    <t>DU40111059</t>
  </si>
  <si>
    <t>EFF-AS0901</t>
  </si>
  <si>
    <t>Romero Rodrigo Ariel</t>
  </si>
  <si>
    <t>DU20502072</t>
  </si>
  <si>
    <t>EFF-AS0904</t>
  </si>
  <si>
    <t>Cardozo Marcos Dante</t>
  </si>
  <si>
    <t>VACANTE PARIS (ATG)</t>
  </si>
  <si>
    <t>DU30496337</t>
  </si>
  <si>
    <t>Campo Mauricio Gonzalo</t>
  </si>
  <si>
    <t>DU30384995</t>
  </si>
  <si>
    <t>Giner Jose Luis</t>
  </si>
  <si>
    <t>DU28254164</t>
  </si>
  <si>
    <t>Mardones Santiago Oscar</t>
  </si>
  <si>
    <t>DU24026927</t>
  </si>
  <si>
    <t>Olate Nestor Fabian</t>
  </si>
  <si>
    <t>DU33485558</t>
  </si>
  <si>
    <t>Pereyra Jonatan Denis</t>
  </si>
  <si>
    <t>DU30724331</t>
  </si>
  <si>
    <t>Riveira Jose Alfredo</t>
  </si>
  <si>
    <t>DU27647925</t>
  </si>
  <si>
    <t>Vazquez Diego Gonzalo</t>
  </si>
  <si>
    <t>DU27773643</t>
  </si>
  <si>
    <t>Sepulveda Cristian Enzo</t>
  </si>
  <si>
    <t>DU21985000</t>
  </si>
  <si>
    <t>Acevedo Jose Luis</t>
  </si>
  <si>
    <t>DU30496418</t>
  </si>
  <si>
    <t>Garavaglia German Gabriel</t>
  </si>
  <si>
    <t>DU30496473</t>
  </si>
  <si>
    <t>EFF-2E0901</t>
  </si>
  <si>
    <t>Jara Pablo Andres</t>
  </si>
  <si>
    <t>DU22855885</t>
  </si>
  <si>
    <t>Romero Walter Dario</t>
  </si>
  <si>
    <t>Medio Oficial Recorredor</t>
  </si>
  <si>
    <t>DU27614355</t>
  </si>
  <si>
    <t>Pograniczny Mauricio Fabian</t>
  </si>
  <si>
    <t>DU25259053</t>
  </si>
  <si>
    <t>Marianetti Mauricio Daniel</t>
  </si>
  <si>
    <t>DU37598999</t>
  </si>
  <si>
    <t>Rebolledo Maximiliano Carlos</t>
  </si>
  <si>
    <t>DU39869649</t>
  </si>
  <si>
    <t>Pograniczny Omar Denis</t>
  </si>
  <si>
    <t>DU43892263</t>
  </si>
  <si>
    <t>EFF-AS0923</t>
  </si>
  <si>
    <t>Avalo Enzo Gustavo Martin</t>
  </si>
  <si>
    <t>DU22012489</t>
  </si>
  <si>
    <t>Zuñiga Anibal</t>
  </si>
  <si>
    <t>DU33485529</t>
  </si>
  <si>
    <t>EFF-AS0922</t>
  </si>
  <si>
    <t>Balastegui Jorge Luis</t>
  </si>
  <si>
    <t>DU23883553</t>
  </si>
  <si>
    <t>Velez Jose Esteban</t>
  </si>
  <si>
    <t>DU33331242</t>
  </si>
  <si>
    <t>EFF-AS0921</t>
  </si>
  <si>
    <t>Meza Dante Luciano</t>
  </si>
  <si>
    <t>DU21638891</t>
  </si>
  <si>
    <t>Rios Victor Armando</t>
  </si>
  <si>
    <t>DU21916259</t>
  </si>
  <si>
    <t>Arriagada Walter David</t>
  </si>
  <si>
    <t>DU26082374</t>
  </si>
  <si>
    <t>EFF-AS0925</t>
  </si>
  <si>
    <t>Jahan Enrique Gonzalo</t>
  </si>
  <si>
    <t>DU26881097</t>
  </si>
  <si>
    <t>Olguin Nelson Antonio</t>
  </si>
  <si>
    <t>DU31600510</t>
  </si>
  <si>
    <t>Diaz Antonio</t>
  </si>
  <si>
    <t>DU38147510</t>
  </si>
  <si>
    <t>EFF-FP0906</t>
  </si>
  <si>
    <t>Montecino Miguel Angel</t>
  </si>
  <si>
    <t>DU33610908</t>
  </si>
  <si>
    <t>Tortosa Garcia Luis Aricelio</t>
  </si>
  <si>
    <t>DU44604989</t>
  </si>
  <si>
    <t>Castillo Marion Itati</t>
  </si>
  <si>
    <t>DU22236756</t>
  </si>
  <si>
    <t>EFF-FP0905</t>
  </si>
  <si>
    <t>Huenchullan Jose Enrique</t>
  </si>
  <si>
    <t>DU44122295</t>
  </si>
  <si>
    <t>Pereyra Gianluca</t>
  </si>
  <si>
    <t>DU35313504</t>
  </si>
  <si>
    <t>Perea Maximiliano Exequiel</t>
  </si>
  <si>
    <t>DU28624132</t>
  </si>
  <si>
    <t>Cordoba Diego Gerardo</t>
  </si>
  <si>
    <t>DU96013867</t>
  </si>
  <si>
    <t>Ventura Montoya Fernando Jose</t>
  </si>
  <si>
    <t>DU37856483</t>
  </si>
  <si>
    <t>Contreras Nahir Kalis</t>
  </si>
  <si>
    <t>DU35178521</t>
  </si>
  <si>
    <t>Lara Oscar Alexis</t>
  </si>
  <si>
    <t>DU45258911</t>
  </si>
  <si>
    <t>EFF-FP0908</t>
  </si>
  <si>
    <t>Almonacid Santiago Rodrigo</t>
  </si>
  <si>
    <t>DU40067099</t>
  </si>
  <si>
    <t>Querci Lucas Hernan</t>
  </si>
  <si>
    <t>DU40293570</t>
  </si>
  <si>
    <t>Paz Heredia Martin Nicolas</t>
  </si>
  <si>
    <t>DU20436984</t>
  </si>
  <si>
    <t>Estelrrig Miguel Horacio</t>
  </si>
  <si>
    <t>DU25308875</t>
  </si>
  <si>
    <t>Querci Norman Gabriel</t>
  </si>
  <si>
    <t>DU31760927</t>
  </si>
  <si>
    <t>Velasquez Rodrigo Martin</t>
  </si>
  <si>
    <t>DU41706620</t>
  </si>
  <si>
    <t>Nicloux Grecia Macarena</t>
  </si>
  <si>
    <t>DU46257883</t>
  </si>
  <si>
    <t>Romero Tobias Juan Cruz</t>
  </si>
  <si>
    <t>DU32119820</t>
  </si>
  <si>
    <t>Figueroa Pablo Emanuel</t>
  </si>
  <si>
    <t>DU29418337</t>
  </si>
  <si>
    <t>Mendez Daniela Tamara</t>
  </si>
  <si>
    <t>DU43703442</t>
  </si>
  <si>
    <t>Sanchez Millarin Claudio</t>
  </si>
  <si>
    <t>DU39544442</t>
  </si>
  <si>
    <t>Rivolta Magali Soledad</t>
  </si>
  <si>
    <t>DU46068665</t>
  </si>
  <si>
    <t>Puel Luciano Nazaret</t>
  </si>
  <si>
    <t>Operador de Plantas</t>
  </si>
  <si>
    <t>DU45734542</t>
  </si>
  <si>
    <t>Fernandez Abel Nicolás</t>
  </si>
  <si>
    <t>DU38799396</t>
  </si>
  <si>
    <t>Marchand Marcos</t>
  </si>
  <si>
    <t>DU44323094</t>
  </si>
  <si>
    <t>Barros Tobares Tomas</t>
  </si>
  <si>
    <t>DU33618500</t>
  </si>
  <si>
    <t>Lemos Gustavo Damian</t>
  </si>
  <si>
    <t>DU35865028</t>
  </si>
  <si>
    <t>Carrasco Yohana Yanina Belen</t>
  </si>
  <si>
    <t>DU16011236</t>
  </si>
  <si>
    <t>Zapata Elias</t>
  </si>
  <si>
    <t>DU92975913</t>
  </si>
  <si>
    <t>Sandoval Chandia Ramon Rodrigo</t>
  </si>
  <si>
    <t>DU46482269</t>
  </si>
  <si>
    <t>Sanhueza Ramiro Exequiel</t>
  </si>
  <si>
    <t>Operador Sr. de Plantas</t>
  </si>
  <si>
    <t>DU33673463</t>
  </si>
  <si>
    <t>Oehmcke Dante Guillermo</t>
  </si>
  <si>
    <t>DU21381155</t>
  </si>
  <si>
    <t>Otarola Alfredo Gustavo</t>
  </si>
  <si>
    <t>DU31157058</t>
  </si>
  <si>
    <t>Centeno Victor Emilio</t>
  </si>
  <si>
    <t xml:space="preserve">DU36718136 </t>
  </si>
  <si>
    <t>Montefinale Federico Miguel</t>
  </si>
  <si>
    <t>DU35753424</t>
  </si>
  <si>
    <t>Della Paolera Sebastian</t>
  </si>
  <si>
    <t>DU37697664</t>
  </si>
  <si>
    <t>Floridio Alana David</t>
  </si>
  <si>
    <t>DU33291680</t>
  </si>
  <si>
    <t>Garcia Pacek German Daniel</t>
  </si>
  <si>
    <t>DU40067274</t>
  </si>
  <si>
    <t>Gutierrez Tomas Agustin</t>
  </si>
  <si>
    <t>DU32710339</t>
  </si>
  <si>
    <t>Magliotto Pablo Andres</t>
  </si>
  <si>
    <t>DU30264711</t>
  </si>
  <si>
    <t>Montenegro Cesar Francisco</t>
  </si>
  <si>
    <t>DU42518458</t>
  </si>
  <si>
    <t>Querci Damian Agustin</t>
  </si>
  <si>
    <t>DU22619156</t>
  </si>
  <si>
    <t>Sepulveda Victor Francisco</t>
  </si>
  <si>
    <t>Chofer</t>
  </si>
  <si>
    <t>DU25711715</t>
  </si>
  <si>
    <t>EFF-FP0926</t>
  </si>
  <si>
    <t>Espinosa Nestor Victalo</t>
  </si>
  <si>
    <t>DU47470934</t>
  </si>
  <si>
    <t>EFF-FP0909</t>
  </si>
  <si>
    <t>Arismendi Miqueas Fernando Gabriel</t>
  </si>
  <si>
    <t>DU38493607</t>
  </si>
  <si>
    <t>Montesino Matias Eleazar</t>
  </si>
  <si>
    <t>DU30588270</t>
  </si>
  <si>
    <t>Valenzuela Juan Carlos David</t>
  </si>
  <si>
    <t>Chofer Transporte Personal (14+1)</t>
  </si>
  <si>
    <t>DU22379296</t>
  </si>
  <si>
    <t>EFF-FP0943</t>
  </si>
  <si>
    <t>Roga Hector Leandro</t>
  </si>
  <si>
    <t>Chofer Especializado Transporte Personal</t>
  </si>
  <si>
    <t>DU31788379</t>
  </si>
  <si>
    <t>Zapata Cecilia Liliana</t>
  </si>
  <si>
    <t>Ingresante de Oficios</t>
  </si>
  <si>
    <t>DU40067838</t>
  </si>
  <si>
    <t xml:space="preserve">Rizzo Sebastian </t>
  </si>
  <si>
    <t>EFF-FN1003</t>
  </si>
  <si>
    <t>Tapia Facundo Emmanuel</t>
  </si>
  <si>
    <t>General Services TLM</t>
  </si>
  <si>
    <t>DU28075950</t>
  </si>
  <si>
    <t>Lopez Jonatan Martin</t>
  </si>
  <si>
    <t>DU40443478</t>
  </si>
  <si>
    <t>Garcia Hector Francisco</t>
  </si>
  <si>
    <t>DU40707368</t>
  </si>
  <si>
    <t>Quesada Facundo Ezequiel</t>
  </si>
  <si>
    <t>DU35834918</t>
  </si>
  <si>
    <t>EFF-FP0901</t>
  </si>
  <si>
    <t>Salazar Denis Alejandro</t>
  </si>
  <si>
    <t>DU25089979</t>
  </si>
  <si>
    <t>Castro Marcos Aurelio</t>
  </si>
  <si>
    <t>DU29682585</t>
  </si>
  <si>
    <t>Fonseca Lucas Ivan</t>
  </si>
  <si>
    <t>DU37856716</t>
  </si>
  <si>
    <t>Quiñiñiri Sebastian Alejandro</t>
  </si>
  <si>
    <t>DU40960566</t>
  </si>
  <si>
    <t>Parada Ariel Gaspar</t>
  </si>
  <si>
    <t>DU29429989</t>
  </si>
  <si>
    <t>Garce Mauro Xavier</t>
  </si>
  <si>
    <t>DU23718238</t>
  </si>
  <si>
    <t>Astorga Sergio Edgardo</t>
  </si>
  <si>
    <t>DU31755425</t>
  </si>
  <si>
    <t>Hernandez Ramon Horacio</t>
  </si>
  <si>
    <t>DU35834683</t>
  </si>
  <si>
    <t>Mendez Milton Gabriel</t>
  </si>
  <si>
    <t>DU31530001</t>
  </si>
  <si>
    <t>Herrera Sergio Mauricio</t>
  </si>
  <si>
    <t>DU44311211</t>
  </si>
  <si>
    <t>Bunajul Emiliano Miguel</t>
  </si>
  <si>
    <t>DU32909263</t>
  </si>
  <si>
    <t>Gutierrez Oscar Javier</t>
  </si>
  <si>
    <t>DU23214468</t>
  </si>
  <si>
    <t>Abarzua Mario Hernan</t>
  </si>
  <si>
    <t>DU24131600</t>
  </si>
  <si>
    <t>Ortega Ignacio Jose</t>
  </si>
  <si>
    <t>DU36192389</t>
  </si>
  <si>
    <t>Donnini Julio Samuel</t>
  </si>
  <si>
    <t>DU33302253</t>
  </si>
  <si>
    <t>Rivero Daniel Alexis</t>
  </si>
  <si>
    <t>Ayudante de Recorredor</t>
  </si>
  <si>
    <t>DU93793325</t>
  </si>
  <si>
    <t>Gonzalez Perez Andy Paolo</t>
  </si>
  <si>
    <t>DU44628798</t>
  </si>
  <si>
    <t>EFF-FP0903</t>
  </si>
  <si>
    <t>Corvalan Valentin</t>
  </si>
  <si>
    <t>DU33478674</t>
  </si>
  <si>
    <t>Pineda Jorge Oscar</t>
  </si>
  <si>
    <t>DU30500730</t>
  </si>
  <si>
    <t>Lizaso Federico Gaston</t>
  </si>
  <si>
    <t>DU35037940</t>
  </si>
  <si>
    <t>Sandoval Marcos Alexis Aryon</t>
  </si>
  <si>
    <t>DU38149619</t>
  </si>
  <si>
    <t>Candia Matias Emanuel</t>
  </si>
  <si>
    <t>Operador Especializado de Well Testing</t>
  </si>
  <si>
    <t>DU31000303</t>
  </si>
  <si>
    <t>EFF-FP0902</t>
  </si>
  <si>
    <t>Rosales Nelson David</t>
  </si>
  <si>
    <t>DU31086174</t>
  </si>
  <si>
    <t>Losso Andres Francisco</t>
  </si>
  <si>
    <t>DU33615416</t>
  </si>
  <si>
    <t>Mora Jonatan Daniel</t>
  </si>
  <si>
    <t>DU18861854</t>
  </si>
  <si>
    <t>Correa Cardenas Gustavo Rodolfo</t>
  </si>
  <si>
    <t>Chofer Operador</t>
  </si>
  <si>
    <t>DU22440673</t>
  </si>
  <si>
    <t>Berra Juan Alberto</t>
  </si>
  <si>
    <t>DU28445476</t>
  </si>
  <si>
    <t>Vasquez Roberto Ariel</t>
  </si>
  <si>
    <t>DU33792814</t>
  </si>
  <si>
    <t>Fuentes Lopez Gaston Emiliano</t>
  </si>
  <si>
    <t>DU33754698</t>
  </si>
  <si>
    <t>EFF-FP0923</t>
  </si>
  <si>
    <t>Quiroga Pedro Pablo</t>
  </si>
  <si>
    <t>Vacante instru FDP (Opt)</t>
  </si>
  <si>
    <t>DU32020422</t>
  </si>
  <si>
    <t>Fuentes Roberto Alejandro</t>
  </si>
  <si>
    <t>DU41858833</t>
  </si>
  <si>
    <t>Montecinos Guzman Elias Daniel</t>
  </si>
  <si>
    <t>DU43215690</t>
  </si>
  <si>
    <t>Van Laten Facundo Nicolas</t>
  </si>
  <si>
    <t>DU45375842</t>
  </si>
  <si>
    <t>Gonzalez Guerrero Franco Nicolas</t>
  </si>
  <si>
    <t>DU39682377</t>
  </si>
  <si>
    <t>Rodriguez Oscar</t>
  </si>
  <si>
    <t>DU28180483</t>
  </si>
  <si>
    <t>EFF-FP0922</t>
  </si>
  <si>
    <t>Arin Raul Alberto</t>
  </si>
  <si>
    <t>DU39950326</t>
  </si>
  <si>
    <t>Rodriguez Matias Walter</t>
  </si>
  <si>
    <t>DU41977742</t>
  </si>
  <si>
    <t>Pena Daira Yamel</t>
  </si>
  <si>
    <t>DU33660770</t>
  </si>
  <si>
    <t>Meza Edgardo Joaquin</t>
  </si>
  <si>
    <t>Vacante mec FDP (Opt)</t>
  </si>
  <si>
    <t>DU35312703</t>
  </si>
  <si>
    <t>Lopez Ezequiel Sebastian</t>
  </si>
  <si>
    <t>DU39266237</t>
  </si>
  <si>
    <t>Chanqueo Guillermo Lautaro</t>
  </si>
  <si>
    <t>DU39354578</t>
  </si>
  <si>
    <t>Muñoz Gustavo Alberto</t>
  </si>
  <si>
    <t>DU38536083</t>
  </si>
  <si>
    <t>Sanchez Alcaraz Rodrigo Ezequiel</t>
  </si>
  <si>
    <t>DU26909367</t>
  </si>
  <si>
    <t>Nava Eduardo David</t>
  </si>
  <si>
    <t>DU24131430</t>
  </si>
  <si>
    <t>Cariñe Juan Marcelo</t>
  </si>
  <si>
    <t>DU29682509</t>
  </si>
  <si>
    <t>Zapata Damian Gilberto</t>
  </si>
  <si>
    <t>DU34780573</t>
  </si>
  <si>
    <t>Heredia Rogelio Walter Jesus</t>
  </si>
  <si>
    <t>DU23346642</t>
  </si>
  <si>
    <t>Almonacid Saul Rodrigo</t>
  </si>
  <si>
    <t>DU37603343</t>
  </si>
  <si>
    <t>Almonacid Edgar Eliel</t>
  </si>
  <si>
    <t>DU27367750</t>
  </si>
  <si>
    <t>Huenupi Cristian Fabian</t>
  </si>
  <si>
    <t>DU39584586</t>
  </si>
  <si>
    <t>EFF-FP0924</t>
  </si>
  <si>
    <t>Inostroza Enzo Alex</t>
  </si>
  <si>
    <t xml:space="preserve">Vacante compresión FDP </t>
  </si>
  <si>
    <t>DU35571160</t>
  </si>
  <si>
    <t>Zeni Matias Jesus</t>
  </si>
  <si>
    <t>DU50866767</t>
  </si>
  <si>
    <t>Soleto Julio Cesar</t>
  </si>
  <si>
    <t>DU42165738</t>
  </si>
  <si>
    <t>Sandoval Fernando</t>
  </si>
  <si>
    <t>Medio Oficial Sr. de Oficios</t>
  </si>
  <si>
    <t>DU26105637</t>
  </si>
  <si>
    <t>Flores Jose Luis</t>
  </si>
  <si>
    <t>Ayudante Jr. de Oficios</t>
  </si>
  <si>
    <t>DU30072541</t>
  </si>
  <si>
    <t>EFF-FP0928</t>
  </si>
  <si>
    <t>Perez Juan Hector</t>
  </si>
  <si>
    <t>DU20211425</t>
  </si>
  <si>
    <t>Rosales Jose Luis</t>
  </si>
  <si>
    <t>DU33823386</t>
  </si>
  <si>
    <t>Quintero Jonathan Carlos</t>
  </si>
  <si>
    <t>DU45259450</t>
  </si>
  <si>
    <t>Fonseca Juance Luca</t>
  </si>
  <si>
    <t>DU24377040</t>
  </si>
  <si>
    <t>EFF-FP0927</t>
  </si>
  <si>
    <t>Marcial Gomez Domingo Alfredo</t>
  </si>
  <si>
    <t>DU26441378</t>
  </si>
  <si>
    <t>Medel Alfredo Ignacio</t>
  </si>
  <si>
    <t>DU38813625</t>
  </si>
  <si>
    <t>Barahona Alexis Emanuel</t>
  </si>
  <si>
    <t>DU30500550</t>
  </si>
  <si>
    <t>Paynemil Jorge Raul</t>
  </si>
  <si>
    <t>Oficial Mtto Well Services</t>
  </si>
  <si>
    <t>DU44090723</t>
  </si>
  <si>
    <t>EFF-FP0934</t>
  </si>
  <si>
    <t>Vizcarra Walter Adrian</t>
  </si>
  <si>
    <t>DU28234455</t>
  </si>
  <si>
    <t>Benedetti Adolfo</t>
  </si>
  <si>
    <t>DU33721679</t>
  </si>
  <si>
    <t>Garrido Hector Ruben</t>
  </si>
  <si>
    <t>DU27368559</t>
  </si>
  <si>
    <t>Urbina Omar Dario</t>
  </si>
  <si>
    <t>VACANTE ASIST PLANTA (ANTES ARISMENDI)</t>
  </si>
  <si>
    <t>DU29755100</t>
  </si>
  <si>
    <t>Konaschuk Marcelo Nicolas</t>
  </si>
  <si>
    <t>Oficial Especializado de Almacén</t>
  </si>
  <si>
    <t>DU29939811</t>
  </si>
  <si>
    <t>EFF-LB0942</t>
  </si>
  <si>
    <t>Millapan Ceferino Andres</t>
  </si>
  <si>
    <t>DU30751007</t>
  </si>
  <si>
    <t>Corvalan Romina Del Carmen</t>
  </si>
  <si>
    <t>DU30072683</t>
  </si>
  <si>
    <t>Catrilao Santiago Lujan</t>
  </si>
  <si>
    <t>DU42317710</t>
  </si>
  <si>
    <t>Rivera Rosa Camila</t>
  </si>
  <si>
    <t>DU39682526</t>
  </si>
  <si>
    <t>EFF-AS0942</t>
  </si>
  <si>
    <t>Navarro Jonathan Adrian</t>
  </si>
  <si>
    <t>DU40334680</t>
  </si>
  <si>
    <t>Gonzalez Daiana Ayelen</t>
  </si>
  <si>
    <t>Oficial de Almacén</t>
  </si>
  <si>
    <t>DU22783932</t>
  </si>
  <si>
    <t>Aqueveque Mariana</t>
  </si>
  <si>
    <t>DU36257759</t>
  </si>
  <si>
    <t>Guerrero Hector Martin</t>
  </si>
  <si>
    <t>Ingresante de Almacén</t>
  </si>
  <si>
    <t>DU37213684</t>
  </si>
  <si>
    <t>Contreras Romina Abigail</t>
  </si>
  <si>
    <t>Medio Oficial Sr. de Almacén</t>
  </si>
  <si>
    <t>DU37946173</t>
  </si>
  <si>
    <t>San Martin Antonella Claudia Graciela</t>
  </si>
  <si>
    <t>DU36963012</t>
  </si>
  <si>
    <t>EFF-FP0929</t>
  </si>
  <si>
    <t>Delgado Luciano Miguel</t>
  </si>
  <si>
    <t>DU42605388</t>
  </si>
  <si>
    <t>Mora Matias</t>
  </si>
  <si>
    <t>DU39381423</t>
  </si>
  <si>
    <t>Encina Lucas Maximiliano</t>
  </si>
  <si>
    <t>DU35310859</t>
  </si>
  <si>
    <t>Perez Mauro Nicolas</t>
  </si>
  <si>
    <t>DU39130831</t>
  </si>
  <si>
    <t>Villar Lucas</t>
  </si>
  <si>
    <t>DU34002040</t>
  </si>
  <si>
    <t>Vazquez Jorge Andres</t>
  </si>
  <si>
    <t>DU37101683</t>
  </si>
  <si>
    <t>EFF-2E0929</t>
  </si>
  <si>
    <t>Sanchez Luz Dalila</t>
  </si>
  <si>
    <t>NO - RELEVO VACACIONES</t>
  </si>
  <si>
    <t>Fredes Ruben</t>
  </si>
  <si>
    <t>DU29856948</t>
  </si>
  <si>
    <t>Zabala Lopez Claudio Luis Alberto</t>
  </si>
  <si>
    <t>DU41609046</t>
  </si>
  <si>
    <t>Gonzalez Franco Emanuel</t>
  </si>
  <si>
    <t>DU31346496</t>
  </si>
  <si>
    <t>Salva Juan Alberto</t>
  </si>
  <si>
    <t>DU14783528</t>
  </si>
  <si>
    <t>Bustos Jesus Mario</t>
  </si>
  <si>
    <t>DU35835313</t>
  </si>
  <si>
    <t>Campos Lucas Jose</t>
  </si>
  <si>
    <t>DU37468345</t>
  </si>
  <si>
    <t>Melgarejo Gaspar Emmanuel</t>
  </si>
  <si>
    <t>Chofer Transporte Personal (9+1)</t>
  </si>
  <si>
    <t>DU29027371</t>
  </si>
  <si>
    <t>EFF-2E0943</t>
  </si>
  <si>
    <t>San Martin Norberto Antonio</t>
  </si>
  <si>
    <t>DU30896746</t>
  </si>
  <si>
    <t>Santander Marcos Roman</t>
  </si>
  <si>
    <t>DU38811359</t>
  </si>
  <si>
    <t xml:space="preserve">Parada Matias Gonzalo </t>
  </si>
  <si>
    <t>DU37624033</t>
  </si>
  <si>
    <t>EFF-2E0942</t>
  </si>
  <si>
    <t>Castro Micaela Aldana</t>
  </si>
  <si>
    <t>DU35595724</t>
  </si>
  <si>
    <t>Sierra Sergio</t>
  </si>
  <si>
    <t>DU35312911</t>
  </si>
  <si>
    <t>Olmedo Nahuel Fernando</t>
  </si>
  <si>
    <t>DU44605225</t>
  </si>
  <si>
    <t>Vega Obreque Yoel Ezequiel</t>
  </si>
  <si>
    <t>DU42849197</t>
  </si>
  <si>
    <t>Videla Lucas Patricio</t>
  </si>
  <si>
    <t>DU26530596</t>
  </si>
  <si>
    <t>Villagra Eduardo Rogelio</t>
  </si>
  <si>
    <t>DU33178833</t>
  </si>
  <si>
    <t>Angelletta Walter Dario</t>
  </si>
  <si>
    <t>DU26217477</t>
  </si>
  <si>
    <t>Irigoyen Mauro Adrian</t>
  </si>
  <si>
    <t>DU30234385</t>
  </si>
  <si>
    <t>Gonzalez Nicolas Hipolito</t>
  </si>
  <si>
    <t>DU38810885</t>
  </si>
  <si>
    <t>Meier Tomas Agustin</t>
  </si>
  <si>
    <t>DU39521568</t>
  </si>
  <si>
    <t>Garcia Jorge Andres</t>
  </si>
  <si>
    <t>Mtto TLM</t>
  </si>
  <si>
    <t>DU36841295</t>
  </si>
  <si>
    <t>EFF-FN1002</t>
  </si>
  <si>
    <t>Contreras Hector Hilario</t>
  </si>
  <si>
    <t>Mantainance TLM</t>
  </si>
  <si>
    <t>DU32293205</t>
  </si>
  <si>
    <t>Flores Nicolas</t>
  </si>
  <si>
    <t>DU32368748</t>
  </si>
  <si>
    <t>Barrientos Juan Emilio</t>
  </si>
  <si>
    <t>Mec Flota TLM</t>
  </si>
  <si>
    <t>DU31358735</t>
  </si>
  <si>
    <t>Telechea Gonzalo Gabriel</t>
  </si>
  <si>
    <t>DU33475851</t>
  </si>
  <si>
    <t>Ochoa Diego Fernando</t>
  </si>
  <si>
    <t>4to hombre</t>
  </si>
  <si>
    <t>DU28617096</t>
  </si>
  <si>
    <t>EFF-FN1001</t>
  </si>
  <si>
    <t>Chandia Daniel Arcadio</t>
  </si>
  <si>
    <t>TLM</t>
  </si>
  <si>
    <t>DU36775845</t>
  </si>
  <si>
    <t xml:space="preserve">Baigorria Rodrigo Emanuel </t>
  </si>
  <si>
    <t>DU43759638</t>
  </si>
  <si>
    <t>Reyes Castillo Lihuen</t>
  </si>
  <si>
    <t>Coord Camiones</t>
  </si>
  <si>
    <t>DU40613156</t>
  </si>
  <si>
    <t>Echegaray Antonio Facundo Siguen</t>
  </si>
  <si>
    <t>DU47268512</t>
  </si>
  <si>
    <t>Ganga Luciano</t>
  </si>
  <si>
    <t>DU31978173</t>
  </si>
  <si>
    <t>Peña Dardo Levis</t>
  </si>
  <si>
    <t>Op. Autoelevador</t>
  </si>
  <si>
    <t>DU39130922</t>
  </si>
  <si>
    <t>Manzano Peña Rodrigo Arnaldo</t>
  </si>
  <si>
    <t>DU38492506</t>
  </si>
  <si>
    <t>Martinez Mauricio Alejandro</t>
  </si>
  <si>
    <t>DU41241632</t>
  </si>
  <si>
    <t>Barrera Poblete Pablo Alejandro</t>
  </si>
  <si>
    <t>Op. Blender</t>
  </si>
  <si>
    <t>DU25329470</t>
  </si>
  <si>
    <t>Hidalgo Sergio Antonio</t>
  </si>
  <si>
    <t>DU39604014</t>
  </si>
  <si>
    <t>Alaniz Rodrigo Nicolás</t>
  </si>
  <si>
    <t>DU31086065</t>
  </si>
  <si>
    <t>Sierpina Cristian Luis</t>
  </si>
  <si>
    <t>Relevo</t>
  </si>
  <si>
    <t>DU40217645</t>
  </si>
  <si>
    <t>EFF-FN1004</t>
  </si>
  <si>
    <t>Jarpa Matias Leonardo</t>
  </si>
  <si>
    <t>DU28443459</t>
  </si>
  <si>
    <t>Torres Lorena</t>
  </si>
  <si>
    <t>DU33042995</t>
  </si>
  <si>
    <t>Escalona Saulo Hermogenes</t>
  </si>
  <si>
    <t>Trainee Plantas</t>
  </si>
  <si>
    <t>Vacante Trainee genera</t>
  </si>
  <si>
    <t>DU24829767</t>
  </si>
  <si>
    <t>Sanchez Burgos Fidel Facundo</t>
  </si>
  <si>
    <t>Ayudante tareas generales</t>
  </si>
  <si>
    <t>DU32529392</t>
  </si>
  <si>
    <t>Montiel Gabriel Alberto</t>
  </si>
  <si>
    <t>Operador Well Services</t>
  </si>
  <si>
    <t>DU39869621</t>
  </si>
  <si>
    <t>Paris Ruiz Braian</t>
  </si>
  <si>
    <t>DU33238769</t>
  </si>
  <si>
    <t>Lopez Ramiro Alejandro Antonio</t>
  </si>
  <si>
    <t>DU35597526</t>
  </si>
  <si>
    <t>Garcia Leandro Erik Maximiliano</t>
  </si>
  <si>
    <t>DU31400064</t>
  </si>
  <si>
    <t>Prieto Hugo Ernesto</t>
  </si>
  <si>
    <t>DU28003231</t>
  </si>
  <si>
    <t>Silva Diego Mauro</t>
  </si>
  <si>
    <t>DU32722769</t>
  </si>
  <si>
    <t>Alderete Pablo</t>
  </si>
  <si>
    <t>DU35372033</t>
  </si>
  <si>
    <t>Matus Mondaca Gustavo Adan</t>
  </si>
  <si>
    <t>DU39890914</t>
  </si>
  <si>
    <t>Firpo Gabriel Cesar Ivan</t>
  </si>
  <si>
    <t>Relevo Well Services</t>
  </si>
  <si>
    <t>DU41706851</t>
  </si>
  <si>
    <t>Canales Ruiz Axel Agustín</t>
  </si>
  <si>
    <t>DU43703072</t>
  </si>
  <si>
    <t>Castillo Guillermo Marcos</t>
  </si>
  <si>
    <t>DU41420521</t>
  </si>
  <si>
    <t>Rojas Kevin Alexis</t>
  </si>
  <si>
    <t>Mtto Instrumentos FP</t>
  </si>
  <si>
    <t>DU27986815</t>
  </si>
  <si>
    <t>Rivas Angel Adrian</t>
  </si>
  <si>
    <t>DU31316501</t>
  </si>
  <si>
    <t>Estrada Rodrigo Maximiliano</t>
  </si>
  <si>
    <t>??</t>
  </si>
  <si>
    <t>Oper PTA SALA</t>
  </si>
  <si>
    <t>DU35886670</t>
  </si>
  <si>
    <t>Arias Francisco Ramon</t>
  </si>
  <si>
    <t>Vacante relevo vacas LBAS</t>
  </si>
  <si>
    <t>DU44757443</t>
  </si>
  <si>
    <t>Lima Marcos</t>
  </si>
  <si>
    <t>Ayudante de Oficio</t>
  </si>
  <si>
    <t>Vacante relevo vacas FDP</t>
  </si>
  <si>
    <t>vacante relevo vacaciones plantas FP</t>
  </si>
  <si>
    <t>DU47284823</t>
  </si>
  <si>
    <t>Valenzuela Wachnowski Juan Daniel</t>
  </si>
  <si>
    <t>Ayudante de oficio</t>
  </si>
  <si>
    <t>DU45359605</t>
  </si>
  <si>
    <t>EFF-FP0935</t>
  </si>
  <si>
    <t xml:space="preserve">Orduña Marcelo Ruben </t>
  </si>
  <si>
    <t>DU18839363</t>
  </si>
  <si>
    <t>Vaca Olarte Eulalio</t>
  </si>
  <si>
    <t>DU32020376</t>
  </si>
  <si>
    <t>Soto Hector Damian</t>
  </si>
  <si>
    <t>DU32726876</t>
  </si>
  <si>
    <t>Moreno Augusto Armando</t>
  </si>
  <si>
    <t>DU24131621</t>
  </si>
  <si>
    <t>Medele Jose Gabriel</t>
  </si>
  <si>
    <t>DU37946412</t>
  </si>
  <si>
    <t>Almendra Josue Damian</t>
  </si>
  <si>
    <t>DU38551955</t>
  </si>
  <si>
    <t>Rios Ricardo Isaias</t>
  </si>
  <si>
    <t>DU36945549</t>
  </si>
  <si>
    <t>Sierra Quezada Jorge Antonio</t>
  </si>
  <si>
    <t>DU31466831</t>
  </si>
  <si>
    <t>Vetoño Oscar Osvaldo</t>
  </si>
  <si>
    <t>DU30941809</t>
  </si>
  <si>
    <t>Mondaca Ruben Jose</t>
  </si>
  <si>
    <t>EFF-1N0901</t>
  </si>
  <si>
    <t>Sandoval Sebastian Matias</t>
  </si>
  <si>
    <t>DU37175343</t>
  </si>
  <si>
    <t>EFF-2E0903</t>
  </si>
  <si>
    <t>Barros Luis Maximiliano</t>
  </si>
  <si>
    <t>DU39650102</t>
  </si>
  <si>
    <t>Martinez German Matias</t>
  </si>
  <si>
    <t>DU29515759</t>
  </si>
  <si>
    <t>Escobar Santiago Esteban</t>
  </si>
  <si>
    <t>DU37749280</t>
  </si>
  <si>
    <t>Martinez Jonathan Damian</t>
  </si>
  <si>
    <t>DU30072565</t>
  </si>
  <si>
    <t>Muñoz Cristian Diego</t>
  </si>
  <si>
    <t>DU28180782</t>
  </si>
  <si>
    <t>Nazario Walter</t>
  </si>
  <si>
    <t>DU26084689</t>
  </si>
  <si>
    <t>Zara Gustavo Oscar</t>
  </si>
  <si>
    <t>DU93387069</t>
  </si>
  <si>
    <t>Medel Omar Andres</t>
  </si>
  <si>
    <t>DU25113854</t>
  </si>
  <si>
    <t>Fernandez Pablo Rodolfo</t>
  </si>
  <si>
    <t>DU35879316</t>
  </si>
  <si>
    <t>Coronel Hugo Martin</t>
  </si>
  <si>
    <t>DU38205837</t>
  </si>
  <si>
    <t>Farias Franco Danilo</t>
  </si>
  <si>
    <t>DU41438906</t>
  </si>
  <si>
    <t>Gonzalez Axel Gabriel</t>
  </si>
  <si>
    <t>DU42806968</t>
  </si>
  <si>
    <t>Blanco Saul Alberto</t>
  </si>
  <si>
    <t>vacante cuadrilla temporal</t>
  </si>
  <si>
    <t>PF 3 meses</t>
  </si>
  <si>
    <t>DU36955491</t>
  </si>
  <si>
    <t>Jesus Carlos Abraham</t>
  </si>
  <si>
    <t>DU31637775</t>
  </si>
  <si>
    <t>Diaz Jonatan Nicolas</t>
  </si>
  <si>
    <t>DU30231611</t>
  </si>
  <si>
    <t>Rosas Diego Nicolas</t>
  </si>
  <si>
    <t>DU31805538</t>
  </si>
  <si>
    <t>Cardenas Cristian Ivan</t>
  </si>
  <si>
    <t>DU27682204</t>
  </si>
  <si>
    <t>Barrientos Ivan</t>
  </si>
  <si>
    <t>Ferrari Fernando Gonzalo</t>
  </si>
  <si>
    <t>DU39880703</t>
  </si>
  <si>
    <t>Mercado Mauricio</t>
  </si>
  <si>
    <t>Valenzuela Lucas Matias</t>
  </si>
  <si>
    <t>Ayudante de almacén</t>
  </si>
  <si>
    <t>DU43703262</t>
  </si>
  <si>
    <t>Gutierrez Franco Matias</t>
  </si>
  <si>
    <t>VACANTE ALM LT2E</t>
  </si>
  <si>
    <t>DU44780097</t>
  </si>
  <si>
    <t>Blanco Kriger Julian Federico</t>
  </si>
  <si>
    <t>DU44909688</t>
  </si>
  <si>
    <t xml:space="preserve">Muñoz Sofia Evelyn </t>
  </si>
  <si>
    <t xml:space="preserve">Operador de Campo </t>
  </si>
  <si>
    <t>DU32309177</t>
  </si>
  <si>
    <t>Luengo David  Gustavo</t>
  </si>
  <si>
    <t>DU40616063</t>
  </si>
  <si>
    <t>Santana Braian Leonel</t>
  </si>
  <si>
    <t>TLM Supervisor Mantenimiento</t>
  </si>
  <si>
    <t>DU39954968</t>
  </si>
  <si>
    <t>Poblete Torres Juan Esteban</t>
  </si>
  <si>
    <t>Health &amp; Safety Lead Supervisor</t>
  </si>
  <si>
    <t>DU36841050</t>
  </si>
  <si>
    <t>Gomeza Rafael</t>
  </si>
  <si>
    <t>Perez Muzzin Miguel</t>
  </si>
  <si>
    <t>DU42517007</t>
  </si>
  <si>
    <t>San Martin Gustavo</t>
  </si>
  <si>
    <t>EFF-FP2006</t>
  </si>
  <si>
    <t>Gonzalez Favio Cesar</t>
  </si>
  <si>
    <t>Vacante Sup COM Y PEM</t>
  </si>
  <si>
    <t>DU36428010</t>
  </si>
  <si>
    <t>Iglesias Fernando</t>
  </si>
  <si>
    <t>Operational Engineering Specialist</t>
  </si>
  <si>
    <t>DU27488839</t>
  </si>
  <si>
    <t>Camps Yain</t>
  </si>
  <si>
    <t>Sabatini Alfredo</t>
  </si>
  <si>
    <t>Plant Operations Lead Engineer</t>
  </si>
  <si>
    <t>DU19139013</t>
  </si>
  <si>
    <t>Bonillo Colina Caryen Adreina</t>
  </si>
  <si>
    <t>Mantenimiento - Mecánicos plantas. - LT2E</t>
  </si>
  <si>
    <t>EFF-2E0921</t>
  </si>
  <si>
    <t>Mantenimiento - Mecánicos valvulas - LT2E</t>
  </si>
  <si>
    <t>DU39868058</t>
  </si>
  <si>
    <t>Marin Carlos Martin</t>
  </si>
  <si>
    <t>DU41404711</t>
  </si>
  <si>
    <t>Sanchez Ignacio Emanuel</t>
  </si>
  <si>
    <t>DU41619361</t>
  </si>
  <si>
    <t>Bustamante Agustin</t>
  </si>
  <si>
    <t>DU41242346</t>
  </si>
  <si>
    <t>Rodriguez Pablo Nicolas</t>
  </si>
  <si>
    <t>Mantenimiento - Instrumentos 1 campo - LT2E</t>
  </si>
  <si>
    <t>DU43094131</t>
  </si>
  <si>
    <t>EFF-2E0923</t>
  </si>
  <si>
    <t>Fariña Sol Agustina</t>
  </si>
  <si>
    <t>DU41438366</t>
  </si>
  <si>
    <t>Valenzuela Joaquin Thomas</t>
  </si>
  <si>
    <t>DU37857880</t>
  </si>
  <si>
    <t>Aniñir Juan Emanuel</t>
  </si>
  <si>
    <t>DU43359136</t>
  </si>
  <si>
    <t>Dip Emir Abdul</t>
  </si>
  <si>
    <t>Mantenimiento - Instrumentos 3 plantas - LT2E</t>
  </si>
  <si>
    <t>Sup. Well Services - LT2E</t>
  </si>
  <si>
    <t>DU34734137</t>
  </si>
  <si>
    <t>EFF-2E2007</t>
  </si>
  <si>
    <t>Gallas Fernando Ezequiel</t>
  </si>
  <si>
    <t>DU28621033</t>
  </si>
  <si>
    <t>Gonzalez Jorge Omar</t>
  </si>
  <si>
    <t>DU39355037</t>
  </si>
  <si>
    <t>Kochereschuk Brian Alexis</t>
  </si>
  <si>
    <t>VACANTE SUP WS LT</t>
  </si>
  <si>
    <t>DU32570375</t>
  </si>
  <si>
    <t>Moreno Matias</t>
  </si>
  <si>
    <t>REFERENCIAS COLORES</t>
  </si>
  <si>
    <t>VACANTES</t>
  </si>
  <si>
    <t>MOVIMIENTOS</t>
  </si>
  <si>
    <t>INGRESOS</t>
  </si>
  <si>
    <t>Ceco EFIS Específico</t>
  </si>
  <si>
    <t>Órden EFIS</t>
  </si>
  <si>
    <t>Facilitador</t>
  </si>
  <si>
    <t>S</t>
  </si>
  <si>
    <t>Descripción Posición</t>
  </si>
  <si>
    <t>Clasificación</t>
  </si>
  <si>
    <t>Oper campo FP</t>
  </si>
  <si>
    <t>HUARTE, ESTEBAN</t>
  </si>
  <si>
    <t>PRR Facilitadores FORT</t>
  </si>
  <si>
    <t>FacilitadordeServicios</t>
  </si>
  <si>
    <t>Oper Well Services FP</t>
  </si>
  <si>
    <t>MACIAS, OSCAR  / SAFFE, JULIAN</t>
  </si>
  <si>
    <t>Almacenamiento de Agua FP</t>
  </si>
  <si>
    <t>Oper. LTS FP</t>
  </si>
  <si>
    <t>Facilitador Well Services - FP</t>
  </si>
  <si>
    <t>Oper. EPF FP</t>
  </si>
  <si>
    <t>PRR Facilitadores CONV - Facilitador LBAS</t>
  </si>
  <si>
    <t>Operadores SALA EPF</t>
  </si>
  <si>
    <t>Oper. Planta Compresión FP</t>
  </si>
  <si>
    <t>Oper. PTA FP</t>
  </si>
  <si>
    <t>Indirectos PRR - RRHH</t>
  </si>
  <si>
    <t>Personalnooperativo</t>
  </si>
  <si>
    <t>Tareas Generales Planta FP</t>
  </si>
  <si>
    <t>Mtto Mecánico FP</t>
  </si>
  <si>
    <t>CORDOVA, DANIELA / ALTAMIRANDA, LEANDRO</t>
  </si>
  <si>
    <t>Indirectos PRR - RRLL</t>
  </si>
  <si>
    <t>Mtto Eléctrico FP</t>
  </si>
  <si>
    <t>Indirectos PRR - Calidad</t>
  </si>
  <si>
    <t>Indirectos PRR - SERGE Sup. Flota</t>
  </si>
  <si>
    <t>Supervisoroperativo/Producción</t>
  </si>
  <si>
    <t>Compresión FP</t>
  </si>
  <si>
    <t>SAS PRR</t>
  </si>
  <si>
    <t>SupervisoresSAS/OT</t>
  </si>
  <si>
    <t>Soldadura FP</t>
  </si>
  <si>
    <t>Tareas Generales Mtto FP</t>
  </si>
  <si>
    <t>Asistencia a Planta FP</t>
  </si>
  <si>
    <t>Engrase FP</t>
  </si>
  <si>
    <t>T. Grales Serge Fp</t>
  </si>
  <si>
    <t>CASAL, GUSTAVO</t>
  </si>
  <si>
    <t>T. Grales Serge LT2E</t>
  </si>
  <si>
    <t>MERCADO, MAURICIO / FREDES, RUBEN</t>
  </si>
  <si>
    <t>EFF-FP0930</t>
  </si>
  <si>
    <t>OT FP</t>
  </si>
  <si>
    <t>EFF-FP0931</t>
  </si>
  <si>
    <t>Integridad FP</t>
  </si>
  <si>
    <t>EFF-FP0932</t>
  </si>
  <si>
    <t>Programador FP</t>
  </si>
  <si>
    <t>Aux. Almacén FP</t>
  </si>
  <si>
    <t>Aux. Almacén LT2E</t>
  </si>
  <si>
    <t>Mantenimiento - OT PRR - PRR FORT</t>
  </si>
  <si>
    <t>Chofer FP</t>
  </si>
  <si>
    <t>Mecánicos FP</t>
  </si>
  <si>
    <t>EFF-FP0945</t>
  </si>
  <si>
    <t>SAS FP</t>
  </si>
  <si>
    <t>Oper campo LBAS</t>
  </si>
  <si>
    <t>BECHARA, LUCAS ANTONIO</t>
  </si>
  <si>
    <t>Tareas Generales Prod LBAS</t>
  </si>
  <si>
    <t>Oper. PTA LBAS</t>
  </si>
  <si>
    <t>Mantenimiento - OT PRR - PRR LBAS/ASAL</t>
  </si>
  <si>
    <t>Mtto Mecánico LBAS</t>
  </si>
  <si>
    <t>PRR Supervisores Mtto FP</t>
  </si>
  <si>
    <t>Mtto Eléctrico LBAS</t>
  </si>
  <si>
    <t>Mtto Instrumentos LBAS</t>
  </si>
  <si>
    <t>Soldadura LBAS</t>
  </si>
  <si>
    <t>EFF-LB0929</t>
  </si>
  <si>
    <t>T. Grales Serge LBAS</t>
  </si>
  <si>
    <t>Producción - PRR Supervisores Producción - PRR - Sup. Producción LT1N</t>
  </si>
  <si>
    <t>EFF-LB0930</t>
  </si>
  <si>
    <t>OT LBAS</t>
  </si>
  <si>
    <t>EFF-LB0931</t>
  </si>
  <si>
    <t>Integridad LBAS</t>
  </si>
  <si>
    <t>Mantenimiento - Integridad PRR - PRR FP</t>
  </si>
  <si>
    <t>EFF-LB0932</t>
  </si>
  <si>
    <t>Programador LBAS</t>
  </si>
  <si>
    <t>Mantenimiento - Programador PRR - PRR FP</t>
  </si>
  <si>
    <t>Aux. Almacén LBAS</t>
  </si>
  <si>
    <t>EFF-LB0945</t>
  </si>
  <si>
    <t>SAS LBAS</t>
  </si>
  <si>
    <t>Mantenimiento - Programador PRR - PRR LBAS/ASAL</t>
  </si>
  <si>
    <t>Oper campo SALA</t>
  </si>
  <si>
    <t>Tareas Generales Prod SALA</t>
  </si>
  <si>
    <t>PRR Supervisores Mtto LBAS</t>
  </si>
  <si>
    <t>Oper. PTA SALA</t>
  </si>
  <si>
    <t>Mantenimiento - Integridad PRR - PRR LB</t>
  </si>
  <si>
    <t>Mtto Mecánico SALA</t>
  </si>
  <si>
    <t>Plantas - Oper. PTA LBAS</t>
  </si>
  <si>
    <t>OperadordePlantaconvencional</t>
  </si>
  <si>
    <t>Mtto Eléctrico SALA</t>
  </si>
  <si>
    <t>Mtto Instrumentos SALA</t>
  </si>
  <si>
    <t>Soldadura SALA</t>
  </si>
  <si>
    <t>EFF-AS0929</t>
  </si>
  <si>
    <t>T. Grales Serge SALA</t>
  </si>
  <si>
    <t>EFF-AS0930</t>
  </si>
  <si>
    <t>OT SALA</t>
  </si>
  <si>
    <t>EFF-AS0931</t>
  </si>
  <si>
    <t>Integridad SALA</t>
  </si>
  <si>
    <t>EFF-AS0932</t>
  </si>
  <si>
    <t>Programador SALA</t>
  </si>
  <si>
    <t>Aux. Almacén SALA</t>
  </si>
  <si>
    <t>EFF-AS0945</t>
  </si>
  <si>
    <t>SAS SALA</t>
  </si>
  <si>
    <t>Oper campo LT2E</t>
  </si>
  <si>
    <t>Chofer LT2E</t>
  </si>
  <si>
    <t>EFF-2E0945</t>
  </si>
  <si>
    <t>SAS LT2E</t>
  </si>
  <si>
    <t>EFF-2E0932</t>
  </si>
  <si>
    <t>Programador LT2E</t>
  </si>
  <si>
    <t>Plantas - Tareas Generales Prod LBAS</t>
  </si>
  <si>
    <t>Relevomantenimiento</t>
  </si>
  <si>
    <t>Oper campo LT1N</t>
  </si>
  <si>
    <t>TareasgeneralesLBAS</t>
  </si>
  <si>
    <t>EFF-2E0930</t>
  </si>
  <si>
    <t>OT LT2E</t>
  </si>
  <si>
    <t>T. Grales Serge PRR</t>
  </si>
  <si>
    <t>Serviciosgenerales</t>
  </si>
  <si>
    <t>PJ TLM</t>
  </si>
  <si>
    <t>Almacenes - Aux. Almacén FP</t>
  </si>
  <si>
    <t>AlmacenNoconvencional</t>
  </si>
  <si>
    <t>Operadores TLM</t>
  </si>
  <si>
    <t>Almacenes - Aux. Almacén - Relevo FP</t>
  </si>
  <si>
    <t>Mantenimiento TLM</t>
  </si>
  <si>
    <t>Producción - Oper campo LBAS</t>
  </si>
  <si>
    <t>OperadordeCampo</t>
  </si>
  <si>
    <t>Mecánicos de flota TLM</t>
  </si>
  <si>
    <t>Relevos TLM</t>
  </si>
  <si>
    <t>OT PRR</t>
  </si>
  <si>
    <t>Integridad PRR</t>
  </si>
  <si>
    <t>Programador PRR</t>
  </si>
  <si>
    <t>Indirectos PRR</t>
  </si>
  <si>
    <t>Facilitadores CONV</t>
  </si>
  <si>
    <t>Facilitadores FP</t>
  </si>
  <si>
    <t>Supervisores Mtto</t>
  </si>
  <si>
    <t>Mantenimiento - Mtto Instrumentos LBAS</t>
  </si>
  <si>
    <t>InstrumentistaConvencional</t>
  </si>
  <si>
    <t>Supervisores Producción</t>
  </si>
  <si>
    <t>Sueldos TECPE</t>
  </si>
  <si>
    <t>Mantenimiento - Mtto Eléctrico LBAS</t>
  </si>
  <si>
    <t>EléctricoConvencional</t>
  </si>
  <si>
    <t>Mtto Well Services FP</t>
  </si>
  <si>
    <t>Montaje y Soldadura FP</t>
  </si>
  <si>
    <t>Mantenimiento - Mtto Mecánico LBAS</t>
  </si>
  <si>
    <t>MecánicosLBAS</t>
  </si>
  <si>
    <t>EFF-FN2000</t>
  </si>
  <si>
    <t>Otras especialidades</t>
  </si>
  <si>
    <t>Facilitadores LT2E</t>
  </si>
  <si>
    <t>EFF-2E0902</t>
  </si>
  <si>
    <t>Well Testing LT2E</t>
  </si>
  <si>
    <t>Mantenimiento - Soldadura LBAS</t>
  </si>
  <si>
    <t>Cuadrillasoldadura-CañistaO&amp;M</t>
  </si>
  <si>
    <t>Almacenamiento de Agua LT2E</t>
  </si>
  <si>
    <t>Cuadrillasoldadura-SoldadorO&amp;M</t>
  </si>
  <si>
    <t>EFF-2E0908</t>
  </si>
  <si>
    <t>Oper. PTA LT2E</t>
  </si>
  <si>
    <t>EFF-2E0909</t>
  </si>
  <si>
    <t>Tareas Generales Planta LT2E</t>
  </si>
  <si>
    <t>Mantenimiento - Soldadura FP</t>
  </si>
  <si>
    <t>EFF-2E0912</t>
  </si>
  <si>
    <t>Oper PTC</t>
  </si>
  <si>
    <t>Plantas - Oper. PTA SALA - SALA</t>
  </si>
  <si>
    <t>EFF-2E0913</t>
  </si>
  <si>
    <t xml:space="preserve">Oper PTG </t>
  </si>
  <si>
    <t>Mtto Mecánico LT2E</t>
  </si>
  <si>
    <t>EFF-2E0922</t>
  </si>
  <si>
    <t>Mtto Eléctrico LT2E</t>
  </si>
  <si>
    <t>Instrumentistas LT2E</t>
  </si>
  <si>
    <t>EFF-2E0925</t>
  </si>
  <si>
    <t>Soldadura LT2E</t>
  </si>
  <si>
    <t>EFF-2E0926</t>
  </si>
  <si>
    <t>Tareas Generales Mtto LT2E</t>
  </si>
  <si>
    <t>EFF-2E0928</t>
  </si>
  <si>
    <t>Engrase LT2E</t>
  </si>
  <si>
    <t>EFF-2E0934</t>
  </si>
  <si>
    <t>Mtto Well Services LT2E</t>
  </si>
  <si>
    <t>Producción - Oper campo SALA - SALA</t>
  </si>
  <si>
    <t>EFF-2E0936</t>
  </si>
  <si>
    <t>Mtto Eléctrico-Instrumentista LT2E</t>
  </si>
  <si>
    <t>Plantas - Tareas Generales Prod SALA - SALA</t>
  </si>
  <si>
    <t>Tareasgenerales</t>
  </si>
  <si>
    <t>EFF-2E0937</t>
  </si>
  <si>
    <t>Mtto Generación LT2E</t>
  </si>
  <si>
    <t>EFF-2E0938</t>
  </si>
  <si>
    <t>Mtto Compresión LT2E</t>
  </si>
  <si>
    <t>EFF-2E0939</t>
  </si>
  <si>
    <t>Auxiliares LT2E</t>
  </si>
  <si>
    <t>EFF-2E0944</t>
  </si>
  <si>
    <t>Mecánicos Flota LT2E</t>
  </si>
  <si>
    <t>EFF-FP2000</t>
  </si>
  <si>
    <t>Ing. Seg. Procesos FDP</t>
  </si>
  <si>
    <t>EFF-2E2000</t>
  </si>
  <si>
    <t>Quimicos/integridad LT2E</t>
  </si>
  <si>
    <t>EFF-FP2001</t>
  </si>
  <si>
    <t>Supervisor Qcos</t>
  </si>
  <si>
    <t>EFF-FP2003</t>
  </si>
  <si>
    <t>Supervisores Calidad</t>
  </si>
  <si>
    <t>EFF-FP2004</t>
  </si>
  <si>
    <t>Supervisores Facilidades</t>
  </si>
  <si>
    <t>EFF-FP2005</t>
  </si>
  <si>
    <t>Supervisor Flota</t>
  </si>
  <si>
    <t>Sup Eléctrico COM y PEM</t>
  </si>
  <si>
    <t>EFF-FP2007</t>
  </si>
  <si>
    <t>Flowback</t>
  </si>
  <si>
    <t>EFF-LB2001</t>
  </si>
  <si>
    <t>EFF-LB2005</t>
  </si>
  <si>
    <t>Sup. SERGE CONV</t>
  </si>
  <si>
    <t>EFF-LB2007</t>
  </si>
  <si>
    <t>Supervisión WS</t>
  </si>
  <si>
    <t>EFF-AS2001</t>
  </si>
  <si>
    <t>EFF-AS2005</t>
  </si>
  <si>
    <t>Mantenimiento - Mtto Instrumentos SALA - SALA</t>
  </si>
  <si>
    <t>Sup. Interferencias/Entregas LT2E</t>
  </si>
  <si>
    <t>EFF-2E2004</t>
  </si>
  <si>
    <t>Coordinador obras PAD</t>
  </si>
  <si>
    <t>Mantenimiento - Mtto Eléctrico SALA - SALA</t>
  </si>
  <si>
    <t>EFF-2E2005</t>
  </si>
  <si>
    <t>Supervisor Flowback</t>
  </si>
  <si>
    <t>Mantenimiento - Mtto Mecánico SALA - SALA</t>
  </si>
  <si>
    <t>MecánicosASAL</t>
  </si>
  <si>
    <t>EFR-FN2001</t>
  </si>
  <si>
    <t>Supervisores Químicos</t>
  </si>
  <si>
    <t>EFR-FN2004</t>
  </si>
  <si>
    <t>Supervisores SERGE</t>
  </si>
  <si>
    <t>Mantenimiento - Soldadura SALA - SALA</t>
  </si>
  <si>
    <t>Supervisores Well Services</t>
  </si>
  <si>
    <t>PJ - TLM 2</t>
  </si>
  <si>
    <t>Cuadrillasoldadura-AmoladorO&amp;M</t>
  </si>
  <si>
    <t>EFF-FN1006</t>
  </si>
  <si>
    <t>Operadores TLM 2</t>
  </si>
  <si>
    <t>Plantas - Oper. EPF FP</t>
  </si>
  <si>
    <t>OperadordeplantaEPF</t>
  </si>
  <si>
    <t>EFF-FN1007</t>
  </si>
  <si>
    <t>Mantenimiento TLM 2</t>
  </si>
  <si>
    <t>EFF-FN1008</t>
  </si>
  <si>
    <t>Relevos TLM 2</t>
  </si>
  <si>
    <t>EFF-FN1009</t>
  </si>
  <si>
    <t>Mtto CDA LT2E</t>
  </si>
  <si>
    <t>OperadordePlantadeAguaCPF</t>
  </si>
  <si>
    <t>EFF-FN1010</t>
  </si>
  <si>
    <t>Auxiliares CDA LT2E</t>
  </si>
  <si>
    <t>EFF-FP0910</t>
  </si>
  <si>
    <t>Supervisión Mtto FDP</t>
  </si>
  <si>
    <t>EFF-LB0910</t>
  </si>
  <si>
    <t>Supervisión Mtto LBAS</t>
  </si>
  <si>
    <t>EFF-2E0960</t>
  </si>
  <si>
    <t>Supervisores producción LT2E</t>
  </si>
  <si>
    <t>EFF-1N0960</t>
  </si>
  <si>
    <t>Supervisores producción LT1N</t>
  </si>
  <si>
    <t>Plantas - Oper. LTS FP</t>
  </si>
  <si>
    <t>OperadorLTS</t>
  </si>
  <si>
    <t>Plantas - Oper. PTA FP</t>
  </si>
  <si>
    <t>Plantas - Oper. Planta Compresión FP</t>
  </si>
  <si>
    <t>OperadordeCompresiónPlanta</t>
  </si>
  <si>
    <t>Relevooperación</t>
  </si>
  <si>
    <t>Plantas - Tareas Generales Planta FP</t>
  </si>
  <si>
    <t>O&amp;M - Chofer FP</t>
  </si>
  <si>
    <t>Choferes/Logística</t>
  </si>
  <si>
    <t>TLM1 - Mecánico de flota - Operario SERGE</t>
  </si>
  <si>
    <t>Mecánicos,engraseyflota</t>
  </si>
  <si>
    <t>SERGE - Mecánicos Flota</t>
  </si>
  <si>
    <t>Producción - Oper campo FP</t>
  </si>
  <si>
    <t>Producción - Almacenamiento de Agua FP</t>
  </si>
  <si>
    <t>OperadordePlantadeAguaWatertransfer</t>
  </si>
  <si>
    <t>Producción - Well Services FP</t>
  </si>
  <si>
    <t>WellServices</t>
  </si>
  <si>
    <t>WellServicesDesfogue</t>
  </si>
  <si>
    <t>Mantenimiento - Mtto Instrumentos FP</t>
  </si>
  <si>
    <t>Instrumentista</t>
  </si>
  <si>
    <t>Mantenimiento - Mtto Eléctrico FP</t>
  </si>
  <si>
    <t>Eléctrico</t>
  </si>
  <si>
    <t>Mantenimiento - Mtto Mecánico FP</t>
  </si>
  <si>
    <t>Mantenimento - Compresión FP</t>
  </si>
  <si>
    <t>MecánicosCompresión</t>
  </si>
  <si>
    <t>Mantenimiento - Tareas Generales Mtto FP</t>
  </si>
  <si>
    <t>Mantenimiento - Asistencia a Planta FP</t>
  </si>
  <si>
    <t>AsistenciaaPlantas</t>
  </si>
  <si>
    <t>Mantenimiento - Engrase FP</t>
  </si>
  <si>
    <t>Almacenes - Aux. Almacén LBAS</t>
  </si>
  <si>
    <t>Almacenes - Aux. Almacén ASAL</t>
  </si>
  <si>
    <t>Almacenconvencional</t>
  </si>
  <si>
    <t>SERGE - T. Grales Serge Fp</t>
  </si>
  <si>
    <t>Producción - Oper campo - LT2E</t>
  </si>
  <si>
    <t>O&amp;M - Chofer LT2E - LT2E</t>
  </si>
  <si>
    <t>Almacenes - Aux. Almacén - LT2E - Ayudante almacén</t>
  </si>
  <si>
    <t>Almacenes Arena - Balanza/Admi</t>
  </si>
  <si>
    <t>Almacenes Arena - Recepción</t>
  </si>
  <si>
    <t>Almacenes Arena - Despacho</t>
  </si>
  <si>
    <t>Almacenes Arena - Despacho/Abre-Cierra Tapas</t>
  </si>
  <si>
    <t>Almacenes Arena - Relevo</t>
  </si>
  <si>
    <t>TLM1 - Operadores TLM - Op Autoelevador</t>
  </si>
  <si>
    <t>Operadordeautoelevador</t>
  </si>
  <si>
    <t>OperadordeCradle</t>
  </si>
  <si>
    <t>TLM1 - Operadores TLM - Op Blender</t>
  </si>
  <si>
    <t>CuartoHombre</t>
  </si>
  <si>
    <t>TLM1 - Operadores TLM - Coord Camiones</t>
  </si>
  <si>
    <t>TLM1 - Operadores TLM - 4to Hombre</t>
  </si>
  <si>
    <t>TLM1 - Relevo</t>
  </si>
  <si>
    <t>TLM1 - Mantenimiento - Mecánico/Electrico</t>
  </si>
  <si>
    <t>OpMantenimiento</t>
  </si>
  <si>
    <t>Mantenimiento - Programador PRR - PRR LT</t>
  </si>
  <si>
    <t>SERGE - T. Generales SERGE - LT2E</t>
  </si>
  <si>
    <t>Plantas - Oper. Planta Compresión FP - Insourcing Enerflex</t>
  </si>
  <si>
    <t>Plantas - Oper. Planta Compresión FP - Insourcing Enerflex - Relevo</t>
  </si>
  <si>
    <t>Mantenimiento - Mtto Mecánico FP - Insourcing Enerflex - Relevo</t>
  </si>
  <si>
    <t>Mantenimento - Compresión FP - Insourcing Enerflex</t>
  </si>
  <si>
    <t>instrumentista</t>
  </si>
  <si>
    <t>Mantenimento - Compresión FP - Insourcing Enerflex - Relevo</t>
  </si>
  <si>
    <t>Plantas - Oper. LTS FP - Trainee HC - Plantas</t>
  </si>
  <si>
    <t>ECN - Supervisor de Integridad - TLM - Supervisor de Integridad</t>
  </si>
  <si>
    <t>TLM1 - Supervisor de Mantenimiento</t>
  </si>
  <si>
    <t>TLM1 - SAS</t>
  </si>
  <si>
    <t>ECN - Facilitador EFiS - TLM - Facilitador</t>
  </si>
  <si>
    <t>Mantenimiento - OT PRR - PRR LT</t>
  </si>
  <si>
    <t>O&amp;M - Facilitadores LT2E - PRR LT</t>
  </si>
  <si>
    <t>Relevo temporal por Vacaciones Plantas</t>
  </si>
  <si>
    <t>Mantenimiento - Mtto Mecánico FP - Relevo</t>
  </si>
  <si>
    <t>Mantenimiento - Mtto Mecánico LBAS - Relevo</t>
  </si>
  <si>
    <t>Relevo temporal por Vacaciones Mantenimiento</t>
  </si>
  <si>
    <t>Plantas - Tareas Generales Planta FP - Relevo vacaciones</t>
  </si>
  <si>
    <t>Mantenimiento - Mtto Well Service</t>
  </si>
  <si>
    <t>Facilidades - Montaje y soldadura - PECOM</t>
  </si>
  <si>
    <t>Producción - Oper Campo LT1N - Compra Planta Prodeng</t>
  </si>
  <si>
    <t>Producción - Sup. Interferencias/Entregas LT2E</t>
  </si>
  <si>
    <t>Producción - Sup. WT/SSPP - LT2E - Facilitador WS</t>
  </si>
  <si>
    <t>Producción - Sup. WT/SSPP - Sup. Well Services - LT2E</t>
  </si>
  <si>
    <t>Budget891</t>
  </si>
  <si>
    <t>Budget892</t>
  </si>
  <si>
    <t>Budget893</t>
  </si>
  <si>
    <t>Budget894</t>
  </si>
  <si>
    <t>Almacenes Arena - Mecánico/Eléctrico - Mantenimiento - Mtto Mecánico CDA - LT2E</t>
  </si>
  <si>
    <t>Almacenes - Aux. Relevo LT2E</t>
  </si>
  <si>
    <t>SERGE - Mecánicos Flota - LT2E</t>
  </si>
  <si>
    <t>Budget910</t>
  </si>
  <si>
    <t>Plantas - Tareas Generales Planta LT2E</t>
  </si>
  <si>
    <t>Budget911</t>
  </si>
  <si>
    <t>Budget912</t>
  </si>
  <si>
    <t>Budget913</t>
  </si>
  <si>
    <t>Producción - Oper campo scrap 1 - LT2E</t>
  </si>
  <si>
    <t>Budget919</t>
  </si>
  <si>
    <t>Producción - Oper campo scrap 2 - LT2E</t>
  </si>
  <si>
    <t>Budget920</t>
  </si>
  <si>
    <t>Budget921</t>
  </si>
  <si>
    <t>Budget922</t>
  </si>
  <si>
    <t>Producción - Almacen Agua - LT2E</t>
  </si>
  <si>
    <t>Producción - Relevo</t>
  </si>
  <si>
    <t>Budget928</t>
  </si>
  <si>
    <t>Budget929</t>
  </si>
  <si>
    <t>Budget930</t>
  </si>
  <si>
    <t>Producción - Well Services - LT2E</t>
  </si>
  <si>
    <t>Budget931</t>
  </si>
  <si>
    <t>Budget932</t>
  </si>
  <si>
    <t>Budget933</t>
  </si>
  <si>
    <t>Budget934</t>
  </si>
  <si>
    <t>Budget935</t>
  </si>
  <si>
    <t>Budget936</t>
  </si>
  <si>
    <t>Budget937</t>
  </si>
  <si>
    <t>Budget938</t>
  </si>
  <si>
    <t>Budget939</t>
  </si>
  <si>
    <t>Budget940</t>
  </si>
  <si>
    <t>Budget941</t>
  </si>
  <si>
    <t>Budget942</t>
  </si>
  <si>
    <t>Producción - Well Services Relevo - LT2E</t>
  </si>
  <si>
    <t>Plantas - PTG - LT2E</t>
  </si>
  <si>
    <t>Plantas - PTA - LT2E</t>
  </si>
  <si>
    <t>Plantas - PTC - LT2E</t>
  </si>
  <si>
    <t>Plantas - Relevo - LT2E</t>
  </si>
  <si>
    <t>Budget962</t>
  </si>
  <si>
    <t>Mantenimiento - Compresión - LT2E</t>
  </si>
  <si>
    <t>Mantenimiento - Generación - LT2E</t>
  </si>
  <si>
    <t>Mantenimiento - Relevo Generación - LT2E</t>
  </si>
  <si>
    <t>Mantenimiento - Eléctrico-Instrumentista (plantas) - LT2E</t>
  </si>
  <si>
    <t>Mantenimiento - Eléctricos 2 campo - LT2E</t>
  </si>
  <si>
    <t>Mantenimiento - Eléctricos 3 plantas - LT2E</t>
  </si>
  <si>
    <t>Budget1004</t>
  </si>
  <si>
    <t>Mantenimiento - Auxiliares - LT2E</t>
  </si>
  <si>
    <t>Budget1005</t>
  </si>
  <si>
    <t>Budget1006</t>
  </si>
  <si>
    <t>Mantenimiento - Auxiliares 2 - LT2E</t>
  </si>
  <si>
    <t>Budget1007</t>
  </si>
  <si>
    <t>Budget1008</t>
  </si>
  <si>
    <t>Mantenimiento - Mtto Well Service - LT2E</t>
  </si>
  <si>
    <t>Budget1009</t>
  </si>
  <si>
    <t>Budget1010</t>
  </si>
  <si>
    <t>Budget1011</t>
  </si>
  <si>
    <t>Otras Especialidades - Sup. O.Civ FORT</t>
  </si>
  <si>
    <t>Otras Especialidades - Sup. SERGE CONV - LBAS/ASAL</t>
  </si>
  <si>
    <t>Budget1022</t>
  </si>
  <si>
    <t>Otras Especialidades - Sup. Flota y Admin PRR.</t>
  </si>
  <si>
    <t>Otras Especialidades - MyS FP FORT</t>
  </si>
  <si>
    <t>Otras Especialidades - Ing. Seg. Procesos FORT</t>
  </si>
  <si>
    <t>Budget1027</t>
  </si>
  <si>
    <t>Otras Especialidades - Laboratorio calidad arena FP FORT</t>
  </si>
  <si>
    <t>Budget1028</t>
  </si>
  <si>
    <t>Otras Especialidades - CDG WS PRR</t>
  </si>
  <si>
    <t>Quimicos/integridad - PRR LT</t>
  </si>
  <si>
    <t>SAS - SAS - PRR LT</t>
  </si>
  <si>
    <t>Budget1035</t>
  </si>
  <si>
    <t>Budget1036</t>
  </si>
  <si>
    <t>Budget1037</t>
  </si>
  <si>
    <t>SAS - Coord Médico - PRR LT</t>
  </si>
  <si>
    <t>Budget1038</t>
  </si>
  <si>
    <t>Budget1041</t>
  </si>
  <si>
    <t>Budget1042</t>
  </si>
  <si>
    <t>TLM2 - Supervisor de Mantenimiento</t>
  </si>
  <si>
    <t>TLM2 - Operadores TLM2 - Op Autoelevador</t>
  </si>
  <si>
    <t>TLM2 - Operadores TLM2 - Op Blender</t>
  </si>
  <si>
    <t>TLM2 - Operadores TLM2 - Coord Camiones</t>
  </si>
  <si>
    <t>TLM2 - Mantenimiento - Mecánico/Electrico</t>
  </si>
  <si>
    <t>TLM2 - Relevo</t>
  </si>
  <si>
    <t>Producción - Well Services LB</t>
  </si>
  <si>
    <t>Plantas - Descargadero PTA</t>
  </si>
  <si>
    <t>Budget1191</t>
  </si>
  <si>
    <t>Mantenimiento - Relevo vacaciones Mtto Well Service</t>
  </si>
  <si>
    <t>Budget1193</t>
  </si>
  <si>
    <t>Budget1194</t>
  </si>
  <si>
    <t>Budget1195</t>
  </si>
  <si>
    <t>Budget1196</t>
  </si>
  <si>
    <t>Budget1199</t>
  </si>
  <si>
    <t>Plantas - Oper. PTA SALA - SALA - Relevo por Vacaciones</t>
  </si>
  <si>
    <t>Budget1200</t>
  </si>
  <si>
    <t>TLM1 - Mantenimiento - Mecánico/Electrico - Relevo por vacaciones</t>
  </si>
  <si>
    <t>Otras Especialidades - Coordinador obras PAD LT2E</t>
  </si>
  <si>
    <t>Otras Especialidades - Coordinador obras PyOP FORT</t>
  </si>
  <si>
    <t>Otras Especialidades - Coordinador obras Planta FORT</t>
  </si>
  <si>
    <t>Budget1204</t>
  </si>
  <si>
    <t>Otras Especialidades - Coordinador obras Flow FORT</t>
  </si>
  <si>
    <t>Budget1205</t>
  </si>
  <si>
    <t>Otras Especialidades - Coordinador calidad Pad y Flow FORT</t>
  </si>
  <si>
    <t>Budget1206</t>
  </si>
  <si>
    <t>Otras Especialidades - Inspector Obras Civiles FORT</t>
  </si>
  <si>
    <t>Budget1207</t>
  </si>
  <si>
    <t>Budget1208</t>
  </si>
  <si>
    <t>Otras Especialidades - Inspector PyOP FORT</t>
  </si>
  <si>
    <t>Budget1209</t>
  </si>
  <si>
    <t>Budget1210</t>
  </si>
  <si>
    <t>Otras Especialidades - Inspector Planta FORT</t>
  </si>
  <si>
    <t>Budget1211</t>
  </si>
  <si>
    <t>Otras Especialidades - Analista calidad FORT</t>
  </si>
  <si>
    <t>Budget1212</t>
  </si>
  <si>
    <t>Budget1213</t>
  </si>
  <si>
    <t>Otras Especialidades - Sup Qcos LBAS/ASAL</t>
  </si>
  <si>
    <t>Budget1214</t>
  </si>
  <si>
    <t>Otras Especialidades - Sup Qcos FORT</t>
  </si>
  <si>
    <t>Budget1215</t>
  </si>
  <si>
    <t>Otras Especialidades - Sup Eléctrico COM y PEM FORT</t>
  </si>
  <si>
    <t>Otras Especialidades - Sup integridad/Mec COM y PEM FORT</t>
  </si>
  <si>
    <t>Otras Especialidades - Sup I&amp;C COM y PEM FORT</t>
  </si>
  <si>
    <t>Budget1219</t>
  </si>
  <si>
    <t>Producción - Well Services - LBAS</t>
  </si>
  <si>
    <t>Budget1220</t>
  </si>
  <si>
    <t>Etiquetas de fila</t>
  </si>
  <si>
    <t>Count of DESCRIPCION_PERSONA</t>
  </si>
  <si>
    <t>Total general</t>
  </si>
  <si>
    <t>(Todas)</t>
  </si>
  <si>
    <t>Count of PERSONA</t>
  </si>
  <si>
    <t>Etiquetas de columna</t>
  </si>
  <si>
    <t>(en blanco)</t>
  </si>
  <si>
    <t>Canales Laura Karina</t>
  </si>
  <si>
    <t>Apestegui Juan Pablo</t>
  </si>
  <si>
    <t>POS</t>
  </si>
  <si>
    <t>Apellido</t>
  </si>
  <si>
    <t>Nombre</t>
  </si>
  <si>
    <t>CECO</t>
  </si>
  <si>
    <t>DNI</t>
  </si>
  <si>
    <t>COMENTARIOS</t>
  </si>
  <si>
    <t>revisar si es una pos real/vacante?</t>
  </si>
  <si>
    <t>De la Fuente</t>
  </si>
  <si>
    <t>ELIMINADA EN JULIO (POR CAMBIOS  DE CONV Y ROTACIÓN DE CANCINO A LBAS)</t>
  </si>
  <si>
    <t>#</t>
  </si>
  <si>
    <t>ID Posición</t>
  </si>
  <si>
    <t>Posición</t>
  </si>
  <si>
    <t>Dirección</t>
  </si>
  <si>
    <t>Agrupador Gerencia</t>
  </si>
  <si>
    <t>Gerencia Jefatura</t>
  </si>
  <si>
    <t>Operación</t>
  </si>
  <si>
    <t>Jefe</t>
  </si>
  <si>
    <t>Vacante - Quality Analyst</t>
  </si>
  <si>
    <t>Operations &amp; Argentina Conventional</t>
  </si>
  <si>
    <t>Neuquén - EFiS</t>
  </si>
  <si>
    <t>Vacante - Oficial de Oficios</t>
  </si>
  <si>
    <t>Cuenca Neuquina &amp; Vaca Muerta</t>
  </si>
  <si>
    <t>Operations &amp; Engineering</t>
  </si>
  <si>
    <t>Mantainance Services</t>
  </si>
  <si>
    <t>Lemos Sergio Dario</t>
  </si>
  <si>
    <t>Vacante - Oficial Sr. de Oficios</t>
  </si>
  <si>
    <t>Vacante - Operador Principal de Cuadrilla</t>
  </si>
  <si>
    <t>Licencia - Carrasco</t>
  </si>
  <si>
    <t>Operations Services</t>
  </si>
  <si>
    <t>Licencia - Nicloux</t>
  </si>
  <si>
    <t>Vacante - Recorredor Especializado</t>
  </si>
  <si>
    <t>Vacante - Integrity Supervisor</t>
  </si>
  <si>
    <t>Vacante - Maintenance Sr.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</si>
</sst>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3"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9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8"/>
      <color rgb="FF333333"/>
      <name val="Arial"/>
      <family val="2"/>
    </font>
    <font>
      <b/>
      <sz val="8"/>
      <name val="Arial"/>
      <family val="2"/>
    </font>
    <font>
      <sz val="11"/>
      <color rgb="FF000000"/>
      <name val="Aptos Narrow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</font>
    <font>
      <sz val="10"/>
      <name val="Aptos Narrow"/>
      <family val="2"/>
    </font>
    <font>
      <sz val="10"/>
      <color rgb="FF000000"/>
      <name val="Aptos Narrow"/>
      <family val="2"/>
    </font>
    <font>
      <sz val="10"/>
      <color rgb="FFFF0000"/>
      <name val="Aptos Narrow"/>
      <family val="2"/>
    </font>
    <font>
      <u/>
      <sz val="8"/>
      <color theme="1"/>
      <name val="Arial"/>
      <family val="2"/>
    </font>
    <font>
      <sz val="8"/>
      <color theme="1"/>
      <name val="Arial"/>
    </font>
    <font>
      <sz val="8"/>
      <name val="Arial"/>
    </font>
  </fonts>
  <fills count="2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B8D3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" fontId="1" fillId="2" borderId="1" applyNumberFormat="0" applyProtection="0">
      <alignment horizontal="left" vertical="center" indent="1"/>
    </xf>
  </cellStyleXfs>
  <cellXfs count="11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14" fontId="0" fillId="0" borderId="0" xfId="0" applyNumberFormat="1"/>
    <xf numFmtId="1" fontId="0" fillId="0" borderId="0" xfId="0" applyNumberFormat="1"/>
    <xf numFmtId="0" fontId="0" fillId="0" borderId="3" xfId="0" applyBorder="1"/>
    <xf numFmtId="0" fontId="0" fillId="4" borderId="0" xfId="0" applyFill="1"/>
    <xf numFmtId="0" fontId="4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0" fillId="0" borderId="0" xfId="0" applyAlignment="1">
      <alignment horizontal="left" indent="1"/>
    </xf>
    <xf numFmtId="0" fontId="7" fillId="11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10" fillId="11" borderId="2" xfId="0" applyFont="1" applyFill="1" applyBorder="1" applyAlignment="1">
      <alignment horizontal="center"/>
    </xf>
    <xf numFmtId="0" fontId="7" fillId="10" borderId="0" xfId="0" applyFont="1" applyFill="1"/>
    <xf numFmtId="0" fontId="7" fillId="0" borderId="0" xfId="0" applyFont="1"/>
    <xf numFmtId="0" fontId="7" fillId="3" borderId="0" xfId="0" applyFont="1" applyFill="1"/>
    <xf numFmtId="0" fontId="7" fillId="11" borderId="0" xfId="0" applyFont="1" applyFill="1"/>
    <xf numFmtId="14" fontId="7" fillId="11" borderId="2" xfId="0" applyNumberFormat="1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vertical="center"/>
    </xf>
    <xf numFmtId="0" fontId="12" fillId="11" borderId="5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 wrapText="1"/>
    </xf>
    <xf numFmtId="0" fontId="9" fillId="11" borderId="2" xfId="0" applyFont="1" applyFill="1" applyBorder="1"/>
    <xf numFmtId="0" fontId="9" fillId="0" borderId="2" xfId="0" applyFont="1" applyBorder="1"/>
    <xf numFmtId="0" fontId="1" fillId="11" borderId="2" xfId="0" applyFont="1" applyFill="1" applyBorder="1" applyAlignment="1">
      <alignment horizontal="center"/>
    </xf>
    <xf numFmtId="0" fontId="1" fillId="0" borderId="2" xfId="0" applyFont="1" applyBorder="1"/>
    <xf numFmtId="0" fontId="1" fillId="11" borderId="2" xfId="0" applyFont="1" applyFill="1" applyBorder="1"/>
    <xf numFmtId="0" fontId="1" fillId="11" borderId="0" xfId="0" applyFont="1" applyFill="1"/>
    <xf numFmtId="0" fontId="7" fillId="11" borderId="0" xfId="0" applyFont="1" applyFill="1" applyAlignment="1">
      <alignment horizontal="center"/>
    </xf>
    <xf numFmtId="0" fontId="9" fillId="15" borderId="4" xfId="0" applyFont="1" applyFill="1" applyBorder="1" applyAlignment="1">
      <alignment horizontal="center"/>
    </xf>
    <xf numFmtId="0" fontId="7" fillId="11" borderId="2" xfId="0" applyFont="1" applyFill="1" applyBorder="1"/>
    <xf numFmtId="0" fontId="1" fillId="16" borderId="4" xfId="0" applyFont="1" applyFill="1" applyBorder="1"/>
    <xf numFmtId="0" fontId="7" fillId="11" borderId="6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1" fillId="17" borderId="2" xfId="0" applyFont="1" applyFill="1" applyBorder="1"/>
    <xf numFmtId="0" fontId="7" fillId="17" borderId="2" xfId="0" applyFont="1" applyFill="1" applyBorder="1"/>
    <xf numFmtId="0" fontId="7" fillId="17" borderId="0" xfId="0" applyFont="1" applyFill="1" applyAlignment="1">
      <alignment horizontal="center"/>
    </xf>
    <xf numFmtId="0" fontId="9" fillId="16" borderId="4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11" borderId="2" xfId="0" applyFont="1" applyFill="1" applyBorder="1" applyAlignment="1">
      <alignment horizontal="center" wrapText="1"/>
    </xf>
    <xf numFmtId="0" fontId="13" fillId="0" borderId="0" xfId="0" applyFont="1"/>
    <xf numFmtId="0" fontId="12" fillId="0" borderId="5" xfId="0" applyFont="1" applyBorder="1" applyAlignment="1">
      <alignment horizontal="center" vertical="center"/>
    </xf>
    <xf numFmtId="0" fontId="4" fillId="0" borderId="0" xfId="0" applyFont="1"/>
    <xf numFmtId="0" fontId="14" fillId="0" borderId="0" xfId="0" applyFont="1"/>
    <xf numFmtId="0" fontId="15" fillId="0" borderId="0" xfId="0" applyFont="1"/>
    <xf numFmtId="0" fontId="16" fillId="18" borderId="0" xfId="0" applyFont="1" applyFill="1" applyAlignment="1">
      <alignment wrapText="1"/>
    </xf>
    <xf numFmtId="0" fontId="16" fillId="19" borderId="0" xfId="0" applyFont="1" applyFill="1" applyAlignment="1">
      <alignment wrapText="1"/>
    </xf>
    <xf numFmtId="0" fontId="17" fillId="20" borderId="0" xfId="0" applyFont="1" applyFill="1"/>
    <xf numFmtId="0" fontId="18" fillId="21" borderId="0" xfId="0" applyFont="1" applyFill="1"/>
    <xf numFmtId="0" fontId="17" fillId="0" borderId="0" xfId="0" applyFont="1"/>
    <xf numFmtId="0" fontId="19" fillId="3" borderId="0" xfId="0" applyFont="1" applyFill="1"/>
    <xf numFmtId="0" fontId="7" fillId="22" borderId="2" xfId="0" applyFont="1" applyFill="1" applyBorder="1" applyAlignment="1">
      <alignment horizontal="center"/>
    </xf>
    <xf numFmtId="14" fontId="7" fillId="22" borderId="2" xfId="0" applyNumberFormat="1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7" fillId="22" borderId="0" xfId="0" applyFont="1" applyFill="1"/>
    <xf numFmtId="0" fontId="1" fillId="22" borderId="2" xfId="0" applyFont="1" applyFill="1" applyBorder="1"/>
    <xf numFmtId="14" fontId="7" fillId="11" borderId="6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0" fillId="11" borderId="2" xfId="0" applyFont="1" applyFill="1" applyBorder="1" applyAlignment="1">
      <alignment horizontal="center"/>
    </xf>
    <xf numFmtId="14" fontId="7" fillId="10" borderId="2" xfId="0" applyNumberFormat="1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2" xfId="0" applyFont="1" applyFill="1" applyBorder="1"/>
    <xf numFmtId="0" fontId="9" fillId="0" borderId="4" xfId="0" applyFont="1" applyBorder="1" applyAlignment="1">
      <alignment horizontal="center"/>
    </xf>
    <xf numFmtId="0" fontId="7" fillId="17" borderId="0" xfId="0" applyFont="1" applyFill="1"/>
    <xf numFmtId="0" fontId="7" fillId="0" borderId="2" xfId="0" applyFont="1" applyBorder="1"/>
    <xf numFmtId="0" fontId="1" fillId="0" borderId="0" xfId="0" applyFont="1"/>
    <xf numFmtId="0" fontId="7" fillId="0" borderId="2" xfId="0" applyFont="1" applyBorder="1" applyAlignment="1">
      <alignment horizontal="left"/>
    </xf>
    <xf numFmtId="0" fontId="1" fillId="17" borderId="0" xfId="0" applyFont="1" applyFill="1"/>
    <xf numFmtId="0" fontId="1" fillId="8" borderId="2" xfId="0" applyFont="1" applyFill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2" fillId="11" borderId="5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17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164" fontId="7" fillId="11" borderId="2" xfId="0" applyNumberFormat="1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23" borderId="0" xfId="0" applyFont="1" applyFill="1"/>
    <xf numFmtId="164" fontId="7" fillId="11" borderId="6" xfId="0" applyNumberFormat="1" applyFont="1" applyFill="1" applyBorder="1" applyAlignment="1">
      <alignment horizontal="center"/>
    </xf>
    <xf numFmtId="0" fontId="21" fillId="17" borderId="0" xfId="0" applyFont="1" applyFill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21" fillId="23" borderId="0" xfId="0" applyFont="1" applyFill="1"/>
    <xf numFmtId="164" fontId="21" fillId="11" borderId="2" xfId="0" applyNumberFormat="1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11" borderId="2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right" vertical="center"/>
    </xf>
    <xf numFmtId="0" fontId="1" fillId="11" borderId="2" xfId="0" applyFont="1" applyFill="1" applyBorder="1" applyAlignment="1">
      <alignment horizontal="right"/>
    </xf>
    <xf numFmtId="0" fontId="10" fillId="11" borderId="2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1" fillId="10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7" fillId="11" borderId="0" xfId="0" applyFont="1" applyFill="1" applyAlignment="1">
      <alignment horizontal="right"/>
    </xf>
    <xf numFmtId="0" fontId="22" fillId="11" borderId="2" xfId="0" applyFont="1" applyFill="1" applyBorder="1" applyAlignment="1">
      <alignment horizontal="right"/>
    </xf>
    <xf numFmtId="0" fontId="1" fillId="22" borderId="2" xfId="0" applyFont="1" applyFill="1" applyBorder="1" applyAlignment="1">
      <alignment horizontal="right"/>
    </xf>
    <xf numFmtId="0" fontId="1" fillId="11" borderId="6" xfId="0" applyFont="1" applyFill="1" applyBorder="1" applyAlignment="1">
      <alignment horizontal="right"/>
    </xf>
    <xf numFmtId="0" fontId="1" fillId="0" borderId="6" xfId="0" applyFont="1" applyBorder="1" applyAlignment="1">
      <alignment horizontal="right"/>
    </xf>
  </cellXfs>
  <cellStyles count="2">
    <cellStyle name="Normal" xfId="0" builtinId="0"/>
    <cellStyle name="SAPBEXchaText" xfId="1" xr:uid="{1D4A9F24-1F52-4C27-B9A4-77B765B95224}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8" tint="0.59999389629810485"/>
        </patternFill>
      </fill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89999084444715716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rgb="FF44B3E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LI Arianna" id="{651D7CB5-6725-475C-8F2A-6DA9A60AAA64}" userId="S::Arianna.GILI@tecpetrol.com::6412d77e-1a3f-4d69-ae9b-154ba3667aa1" providerId="AD"/>
  <person displayName="GILI Arianna" id="{F0B599D4-F392-47B7-895C-9544E2B9B00E}" userId="S::arianna.gili@tecpetrol.com::6412d77e-1a3f-4d69-ae9b-154ba3667aa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DIC Alenka" refreshedDate="46265.355884027776" createdVersion="8" refreshedVersion="8" minRefreshableVersion="3" recordCount="351" xr:uid="{6FF64E8B-0B17-443D-9D92-AAE143C155AE}">
  <cacheSource type="worksheet">
    <worksheetSource ref="B1:O353" sheet="BASE"/>
  </cacheSource>
  <cacheFields count="14">
    <cacheField name="POSICION" numFmtId="0">
      <sharedItems containsSemiMixedTypes="0" containsString="0" containsNumber="1" containsInteger="1" minValue="3197992" maxValue="3437943"/>
    </cacheField>
    <cacheField name="DESCRIPCION_POSICION" numFmtId="0">
      <sharedItems/>
    </cacheField>
    <cacheField name="AREA_FUNCIONAL" numFmtId="0">
      <sharedItems containsBlank="1"/>
    </cacheField>
    <cacheField name="SUB_AREA_FUNCIONAL" numFmtId="0">
      <sharedItems containsBlank="1"/>
    </cacheField>
    <cacheField name="FUNCION" numFmtId="0">
      <sharedItems containsBlank="1"/>
    </cacheField>
    <cacheField name="DESCRIPCION_FUNCION" numFmtId="0">
      <sharedItems containsBlank="1"/>
    </cacheField>
    <cacheField name="ID_META_4" numFmtId="0">
      <sharedItems containsBlank="1"/>
    </cacheField>
    <cacheField name="SUBDIV_PERSONAL" numFmtId="0">
      <sharedItems/>
    </cacheField>
    <cacheField name="SOCIEDAD" numFmtId="0">
      <sharedItems/>
    </cacheField>
    <cacheField name="NOMBRE_JEFE" numFmtId="0">
      <sharedItems count="44">
        <s v="Mamani Carlos Walter"/>
        <s v="Lusso Mauricio Ricardo"/>
        <s v="Fabro Facundo"/>
        <s v="Batallan Pablo Alejandro"/>
        <s v="Lopez Rodrigo Gaston"/>
        <s v="Cordova Daniela Emiliana"/>
        <s v="Segura Alejandro"/>
        <s v="Gili Arianna"/>
        <s v="Romano Mariano Bruno"/>
        <s v="Corbalan Federico Martin"/>
        <s v="Gaisch Alejandro Hector"/>
        <s v="Seri Walter Omar"/>
        <s v="Zuluaga Gabriel"/>
        <s v="Chazarreta Jose Antonio"/>
        <s v="Lemes Mariana De Los Angeles"/>
        <s v="Martel Maximiliano Jose Tomas"/>
        <s v="Carreño Venegas Cecilia"/>
        <s v="Contreras Fernando Andres"/>
        <s v="Schmidt Brian Eric"/>
        <s v="Diaz Luis Alberto"/>
        <s v="Bechara Lucas Antonio"/>
        <s v="Sheffield Naiara Eileen"/>
        <s v="Mazoue Juan Manuel"/>
        <s v="Forte Federico"/>
        <s v="Doria Pablo Cesar"/>
        <s v="Alcantu Bargna Marcelo Luis"/>
        <s v="Baissac Roberto Enrique"/>
        <s v="Gulayin Mariana Laura"/>
        <s v="Cañaveras Adrian Marcelo"/>
        <s v="Kraemer Nicolás"/>
        <s v="Casal Gustavo Daniel"/>
        <s v="Vicencio Cecilia Stefania"/>
        <s v="Carabajal Marcelo"/>
        <s v="Carreras Natania"/>
        <s v="Buzaglo Sebastian"/>
        <s v="Crespo Luis"/>
        <s v="Rizzo Sebastian "/>
        <s v="Macias Ceferino Oscar"/>
        <s v="Fredes Ruben"/>
        <s v="Saffe Julian Agustín"/>
        <s v="Ordoñez Ignacio" u="1"/>
        <s v="NUEVO FACILITADOR" u="1"/>
        <s v="Garcia Pereira Maria Jose" u="1"/>
        <s v="NUEVO FACILITADOR LOTO" u="1"/>
      </sharedItems>
    </cacheField>
    <cacheField name="OBJETO_DE_IMPUTACION" numFmtId="0">
      <sharedItems/>
    </cacheField>
    <cacheField name="PERSONA" numFmtId="0">
      <sharedItems containsBlank="1" containsMixedTypes="1" containsNumber="1" containsInteger="1" minValue="255269" maxValue="265980"/>
    </cacheField>
    <cacheField name="DESCRIPCION_PERSONA" numFmtId="0">
      <sharedItems containsBlank="1"/>
    </cacheField>
    <cacheField name="FLAG_LICENCIA" numFmtId="0">
      <sharedItems count="69">
        <s v="Sueldos TECPE"/>
        <s v="Facilitadores FP"/>
        <s v="Supervisores Well Services"/>
        <s v="Facilitadores CONV"/>
        <s v="Mtto Mecánico FP"/>
        <s v="PJ TLM"/>
        <s v="Indirectos PRR"/>
        <s v="SAS PRR"/>
        <s v="Facilitadores LT2E"/>
        <s v="OT PRR"/>
        <s v="Integridad PRR"/>
        <s v="Oper campo LBAS"/>
        <s v="Supervisores Mtto"/>
        <s v="Operadores SALA EPF"/>
        <s v="Supervisores Producción"/>
        <s v="Programador PRR"/>
        <s v="Oper. Planta Compresión FP"/>
        <s v="PJ - TLM 2"/>
        <s v="Mecánicos FP"/>
        <s v="Otras especialidades"/>
        <s v="Supervisores SERGE"/>
        <s v="Sup. Interferencias/Entregas LT2E"/>
        <s v="Oper. PTA LBAS"/>
        <s v="Tareas Generales Prod LBAS"/>
        <s v="T. Grales Serge PRR"/>
        <s v="Aux. Almacén FP"/>
        <s v="Mtto Instrumentos LBAS"/>
        <s v="Mtto Eléctrico LBAS"/>
        <s v="Mtto Mecánico LBAS"/>
        <s v="Soldadura LBAS"/>
        <s v="Soldadura FP"/>
        <s v="Oper. PTA SALA"/>
        <s v="Oper campo SALA"/>
        <s v="Tareas Generales Prod SALA"/>
        <s v="Mtto Instrumentos SALA"/>
        <s v="Mtto Eléctrico SALA"/>
        <s v="Mtto Mecánico SALA"/>
        <s v="Soldadura SALA"/>
        <s v="Oper. EPF FP"/>
        <s v="Oper. LTS FP"/>
        <s v="Oper. PTA FP"/>
        <s v="Tareas Generales Mtto FP"/>
        <s v="Tareas Generales Planta FP"/>
        <s v="Chofer FP"/>
        <s v="Mecánicos de flota TLM"/>
        <s v="Oper campo FP"/>
        <s v="Almacenamiento de Agua FP"/>
        <s v="Oper Well Services FP"/>
        <s v="Mtto Instrumentos FP"/>
        <s v="Mtto Eléctrico FP"/>
        <s v="Compresión FP"/>
        <s v="Engrase FP"/>
        <s v="Asistencia a Planta FP"/>
        <s v="Mtto Well Services FP"/>
        <s v="Aux. Almacén LBAS"/>
        <s v="Aux. Almacén SALA"/>
        <s v="T. Grales Serge Fp"/>
        <s v="T. Grales Serge LT2E"/>
        <s v="Oper campo LT2E"/>
        <s v="Chofer LT2E"/>
        <s v="Aux. Almacén LT2E"/>
        <s v="Mantenimiento TLM"/>
        <s v="Operadores TLM"/>
        <s v="Relevos TLM"/>
        <s v="PRR Facilitadores Mtto" u="1"/>
        <s v="PRR Facilitadores Pta/Prod" u="1"/>
        <s v="PRR Supervisores Mtto" u="1"/>
        <s v="PRR Supervisores Producción" u="1"/>
        <s v="Well Testing FP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DIC Alenka" refreshedDate="46265.355884259261" createdVersion="8" refreshedVersion="8" minRefreshableVersion="3" recordCount="436" xr:uid="{5F886DA0-9197-490C-8999-8A50AA479C4B}">
  <cacheSource type="worksheet">
    <worksheetSource name="Table1[[OBJETO_DE_IMPUTACION]:[EA]]"/>
  </cacheSource>
  <cacheFields count="19">
    <cacheField name="OBJETO_DE_IMPUTACION" numFmtId="0">
      <sharedItems containsBlank="1" count="73">
        <s v="FPF-FN0940"/>
        <s v="EFR-FN0920"/>
        <s v="EFR-FN2007"/>
        <s v="EFR-FN0900"/>
        <s v="EFF-FP0921"/>
        <s v="EFF-FN1000"/>
        <s v="EFR-FN0941"/>
        <s v="EFR-FN0945"/>
        <s v="EFR-2E0970"/>
        <s v="EFR-FN0930"/>
        <s v="EFR-FN0931"/>
        <s v="EFF-LB0901"/>
        <s v="EFR-FN0910"/>
        <s v="EFF-FP0911"/>
        <s v="EFR-FN0960"/>
        <s v="EFR-FN0932"/>
        <s v="EFF-FP0907"/>
        <s v="EFF-FN1005"/>
        <s v="EFF-FP0944"/>
        <s v="EFR-FN2000"/>
        <s v="EFR-FN2005"/>
        <s v="EFF-2E2002"/>
        <s v="EFF-LB0908"/>
        <s v="EFF-LB0904"/>
        <s v="EFR-FN0929"/>
        <s v="EFF-FP0942"/>
        <s v="EFF-LB0923"/>
        <s v="EFF-LB0922"/>
        <s v="EFF-LB0921"/>
        <s v="EFF-LB0925"/>
        <s v="EFF-FP0925"/>
        <s v="EFF-AS0908"/>
        <s v="EFF-AS0901"/>
        <s v="EFF-AS0904"/>
        <s v="EFF-AS0923"/>
        <s v="EFF-AS0922"/>
        <s v="EFF-AS0921"/>
        <s v="EFF-AS0925"/>
        <s v="EFF-FP0906"/>
        <s v="EFF-FP0905"/>
        <s v="EFF-FP0908"/>
        <s v="EFF-FP0926"/>
        <s v="EFF-FP0909"/>
        <s v="EFF-FP0943"/>
        <s v="EFF-FN1003"/>
        <s v="EFF-FP0901"/>
        <s v="EFF-FP0903"/>
        <s v="EFF-FP0902"/>
        <s v="EFF-FP0923"/>
        <s v="EFF-FP0922"/>
        <s v="EFF-FP0924"/>
        <s v="EFF-FP0928"/>
        <s v="EFF-FP0927"/>
        <s v="EFF-FP0934"/>
        <s v="EFF-LB0942"/>
        <s v="EFF-AS0942"/>
        <s v="EFF-FP0929"/>
        <s v="EFF-2E0929"/>
        <s v="EFF-2E0901"/>
        <s v="EFF-2E0943"/>
        <s v="EFF-2E0942"/>
        <s v="EFF-FN1002"/>
        <s v="EFF-FN1001"/>
        <s v="EFF-FN1004"/>
        <s v="EFF-FP0935"/>
        <s v="EFF-1N0901"/>
        <s v="EFF-2E0903"/>
        <s v="EFF-FP2006"/>
        <s v="EFF-2E0921"/>
        <s v="EFF-2E0923"/>
        <m/>
        <s v="OBJETO_DE_IMPUTACION" u="1"/>
        <s v="SDF-000120" u="1"/>
      </sharedItems>
    </cacheField>
    <cacheField name="PERSONA" numFmtId="0">
      <sharedItems containsBlank="1" containsMixedTypes="1" containsNumber="1" containsInteger="1" minValue="255269" maxValue="265980"/>
    </cacheField>
    <cacheField name="DESCRIPCION_PERSONA" numFmtId="0">
      <sharedItems containsBlank="1" count="478">
        <s v="Lusso Mauricio Ricardo"/>
        <s v="Fabro Facundo"/>
        <s v="Batallan Pablo Alejandro"/>
        <s v="Beloqui Leandro"/>
        <s v="Gili Arianna"/>
        <s v="Huarte Esteban "/>
        <s v="Cordova Daniela Emiliana"/>
        <s v="Altamiranda Leandro Damian"/>
        <s v="Macias Ceferino Oscar"/>
        <s v="Bechara Lucas Antonio"/>
        <s v="Casal Gustavo Daniel"/>
        <s v="Poblete Matias Ezequiel"/>
        <s v="Gonzalez Mendez Simon"/>
        <s v="Gazzola Ezequiel "/>
        <s v="Baza Coseani Luisina"/>
        <s v="Apestegui Juan Pablo"/>
        <s v="Barrera Anahi Malen"/>
        <s v="Tarifeño Ernesto Eduardo"/>
        <s v="Soria Agustin Gabriel"/>
        <s v="Vacante RH Jul/26"/>
        <s v="Vacante RL Sep/26"/>
        <s v="Seguel Maria Fernanda"/>
        <s v="Campora Camila María"/>
        <s v="Rizzo Sebastian"/>
        <s v="Figueroa Franco Martin"/>
        <s v="Mora Federico"/>
        <s v="Sea Oscar Ariel"/>
        <s v="Palma Belen del Milagro"/>
        <s v="Huaiquiñir Juan Jose"/>
        <s v="Galdame Carlos David"/>
        <s v="Mercado Mauricio Edgardo"/>
        <s v="Fredes Ruben Oscar"/>
        <s v="Feruglio Adrian Federico"/>
        <s v="Schlosser Adolfo Julio"/>
        <s v="Leiva Ricardo Alejandro"/>
        <s v="Acuña Fernanda Natali"/>
        <s v="Prieto Beatriz Alejandra"/>
        <s v="Crespillo Faur Adrian Alejandro"/>
        <s v="Gonzalez Rodrigo Jeremias"/>
        <s v="Forconi Enzo Ramiro"/>
        <s v="Rodriguez Bordones Marcel Josue"/>
        <s v="Lillo Mauricio"/>
        <s v="Saenz Emiliano Jesus"/>
        <s v="Suarez Jhoana Mariela"/>
        <s v="Marasco Nestor Damian"/>
        <s v="Viluron Santiago Ezequiel"/>
        <s v="Vacante Sup. Integridad"/>
        <s v="Cheuquel Agustin Gabriel"/>
        <s v="Olave Omar Luis"/>
        <s v="Vacante Sup. Instrumentos (Poblete J)"/>
        <s v="Bohl Damian Alfredo"/>
        <s v="Vacante OT LT2E"/>
        <s v="Inostroza Juan Marcelo"/>
        <s v="Pedrero Jorge Esteban"/>
        <s v="Aguilera Martin Fabian"/>
        <s v="Aquin Jorge Alfredo"/>
        <s v="Acuña Israel Maximiliano"/>
        <s v="Mendoza Segundo Rodolfo"/>
        <s v="Rivera Jorge David"/>
        <s v="Pedraza Romero Ingrith Cristina"/>
        <s v="Zapata Gustavo Ceferino"/>
        <s v="Orozco Luciano Nicolas"/>
        <s v="Corti Ortola Cristian Dario "/>
        <s v="Garcia Oscar Ariel"/>
        <s v="Sieben Nicolas"/>
        <s v="Canales Vanina Daniela"/>
        <s v="Vacante Sup SAS TLM"/>
        <s v="Chalop Marcos"/>
        <m/>
        <s v="Muccela Jose Daniel"/>
        <s v="VACANTE RELEVO VACAS MECÁNICOS"/>
        <s v="Wilton Smith"/>
        <s v="Saffe Julian Agustín"/>
        <s v="Orellana Omar Ismael"/>
        <s v="Rodriguez Lucas Matias"/>
        <s v="Bartusch Fabian"/>
        <s v="Martinez Juan Manuel"/>
        <s v="Cual Roxana"/>
        <s v="Fiore Marco Cesar"/>
        <s v="Lozano Jorge Alberto"/>
        <s v="Vacante Sup. Interf/Entregas"/>
        <s v="Alcaraz Gonzalo Ruben"/>
        <s v="Nimbro Andres Alejandro"/>
        <s v="Ijurco Jose Luis"/>
        <s v="Fuentes Osvaldo Nazareno"/>
        <s v="Sepulveda Miño Matias Ariel"/>
        <s v="Abarzua Ruiu Jose Ignacio"/>
        <s v="Tapia Dario Andres"/>
        <s v="Insulza Sergio Ramon"/>
        <s v="Sepulveda Gustavo Andres"/>
        <s v="Navarrete Miguel Andres"/>
        <s v="Fuentes Guillermo Ivan"/>
        <s v="Medina Chourio Luis Guillermo"/>
        <s v="Valdez Mario Sergio"/>
        <s v="Espinoza Jose Luis"/>
        <s v="Rebolledo Brian Nahuel"/>
        <s v="Gomez Carlos Oscar"/>
        <s v="Bilbao Raul Alberto"/>
        <s v="Galera Carla Debora"/>
        <s v="Solorza Cristian Alejandro"/>
        <s v="Jara Jonathan Jose Ariel"/>
        <s v="Hernandez Denis Alfredo"/>
        <s v="Kissner Nelson  Daniel"/>
        <s v="Benegas Silvio Sebastian"/>
        <s v="Godoy Juan Manuel"/>
        <s v="Marin Juan Agustin"/>
        <s v="Moreno Maira Ayelen"/>
        <s v="Cayhueque Claudio Alejandro"/>
        <s v="Reyes Jose Angel"/>
        <s v="Castro Cifuentes Roberto Andres"/>
        <s v="Olmos Matias Emanuel"/>
        <s v="Meza Daniel Alejandro"/>
        <s v="Vazquez Diego Augusto"/>
        <s v="Lavarini San Roman Cristhian Andres"/>
        <s v="Diaz Nicolas Nahuel"/>
        <s v="Mulbayer Nestor Omar"/>
        <s v="Muñoz Luciano Franco Sebastian"/>
        <s v="Arancena Leandro Alfredo"/>
        <s v="Cancino Carlos Ruben"/>
        <s v="Leguizamon Eusebio"/>
        <s v="De la Fuente Daniel Antonio"/>
        <s v="Garayalde Victor Ariel"/>
        <s v="Petretto Angel Guillermo"/>
        <s v="Pichel Javier Alejandro"/>
        <s v="Sanchez Raul Dario"/>
        <s v="Caceres Hernan Rodrigo"/>
        <s v="Hechenleitner Carlos Walter"/>
        <s v="Pichel Daniela Andrea"/>
        <s v="Velez Leandro Gabriel"/>
        <s v="Romero Rodrigo Ariel"/>
        <s v="Cardozo Marcos Dante"/>
        <s v="Paris Ruiz Braian"/>
        <s v="Campo Mauricio Gonzalo"/>
        <s v="Giner Jose Luis"/>
        <s v="Mardones Santiago Oscar"/>
        <s v="Olate Nestor Fabian"/>
        <s v="Pereyra Jonatan Denis"/>
        <s v="Riveira Jose Alfredo"/>
        <s v="Vazquez Diego Gonzalo"/>
        <s v="Sepulveda Cristian Enzo"/>
        <s v="Acevedo Jose Luis"/>
        <s v="Garavaglia German Gabriel"/>
        <s v="Jara Pablo Andres"/>
        <s v="Romero Walter Dario"/>
        <s v="Pograniczny Mauricio Fabian"/>
        <s v="Marianetti Mauricio Daniel"/>
        <s v="Rebolledo Maximiliano Carlos"/>
        <s v="Pograniczny Omar Denis"/>
        <s v="Avalo Enzo Gustavo Martin"/>
        <s v="Zuñiga Anibal"/>
        <s v="Balastegui Jorge Luis"/>
        <s v="Velez Jose Esteban"/>
        <s v="Meza Dante Luciano"/>
        <s v="Rios Victor Armando"/>
        <s v="Arriagada Walter David"/>
        <s v="Jahan Enrique Gonzalo"/>
        <s v="Olguin Nelson Antonio"/>
        <s v="Diaz Antonio"/>
        <s v="Montecino Miguel Angel"/>
        <s v="Tortosa Garcia Luis Aricelio"/>
        <s v="Castillo Marion Itati"/>
        <s v="Huenchullan Jose Enrique"/>
        <s v="Pereyra Gianluca"/>
        <s v="Perea Maximiliano Exequiel"/>
        <s v="Cordoba Diego Gerardo"/>
        <s v="Ventura Montoya Fernando Jose"/>
        <s v="Contreras Nahir Kalis"/>
        <s v="Lara Oscar Alexis"/>
        <s v="Almonacid Santiago Rodrigo"/>
        <s v="Querci Lucas Hernan"/>
        <s v="Paz Heredia Martin Nicolas"/>
        <s v="Estelrrig Miguel Horacio"/>
        <s v="Querci Norman Gabriel"/>
        <s v="Velasquez Rodrigo Martin"/>
        <s v="Nicloux Grecia Macarena"/>
        <s v="Romero Tobias Juan Cruz"/>
        <s v="Figueroa Pablo Emanuel"/>
        <s v="Mendez Daniela Tamara"/>
        <s v="Sanchez Millarin Claudio"/>
        <s v="Rivolta Magali Soledad"/>
        <s v="Puel Luciano Nazaret"/>
        <s v="Fernandez Abel Nicolás"/>
        <s v="Marchand Marcos"/>
        <s v="Barros Tobares Tomas"/>
        <s v="Lemos Gustavo Damian"/>
        <s v="Carrasco Yohana Yanina Belen"/>
        <s v="Zapata Elias"/>
        <s v="Sandoval Chandia Ramon Rodrigo"/>
        <s v="Sanhueza Ramiro Exequiel"/>
        <s v="Oehmcke Dante Guillermo"/>
        <s v="Otarola Alfredo Gustavo"/>
        <s v="Centeno Victor Emilio"/>
        <s v="Montefinale Federico Miguel"/>
        <s v="Della Paolera Sebastian"/>
        <s v="Floridio Alana David"/>
        <s v="Garcia Pacek German Daniel"/>
        <s v="Gutierrez Tomas Agustin"/>
        <s v="Magliotto Pablo Andres"/>
        <s v="Montenegro Cesar Francisco"/>
        <s v="Querci Damian Agustin"/>
        <s v="Sepulveda Victor Francisco"/>
        <s v="Espinosa Nestor Victalo"/>
        <s v="Encina Lucas Maximiliano"/>
        <s v="Montesino Matias Eleazar"/>
        <s v="Valenzuela Juan Carlos David"/>
        <s v="Roga Hector Leandro"/>
        <s v="Zapata Cecilia Liliana"/>
        <s v="Tapia Facundo Emmanuel"/>
        <s v="Lopez Jonatan Martin"/>
        <s v="Garcia Hector Francisco"/>
        <s v="Quesada Facundo Ezequiel"/>
        <s v="Salazar Denis Alejandro"/>
        <s v="Castro Marcos Aurelio"/>
        <s v="Fonseca Lucas Ivan"/>
        <s v="Quiñiñiri Sebastian Alejandro"/>
        <s v="Parada Ariel Gaspar"/>
        <s v="Garce Mauro Xavier"/>
        <s v="Astorga Sergio Edgardo"/>
        <s v="Hernandez Ramon Horacio"/>
        <s v="Mendez Milton Gabriel"/>
        <s v="Herrera Sergio Mauricio"/>
        <s v="Bunajul Emiliano Miguel"/>
        <s v="Gutierrez Oscar Javier"/>
        <s v="Abarzua Mario Hernan"/>
        <s v="Ortega Ignacio Jose"/>
        <s v="Donnini Julio Samuel"/>
        <s v="Rivero Daniel Alexis"/>
        <s v="Gonzalez Perez Andy Paolo"/>
        <s v="Gallas Fernando Ezequiel"/>
        <s v="Pineda Jorge Oscar"/>
        <s v="Gonzalez Jorge Omar"/>
        <s v="Sandoval Marcos Alexis Aryon"/>
        <s v="Candia Matias Emanuel"/>
        <s v="Rosales Nelson David"/>
        <s v="Losso Andres Francisco"/>
        <s v="Mora Jonatan Daniel"/>
        <s v="Correa Cardenas Gustavo Rodolfo"/>
        <s v="Berra Juan Alberto"/>
        <s v="Vasquez Roberto Ariel"/>
        <s v="Fuentes Lopez Gaston Emiliano"/>
        <s v="Quiroga Pedro Pablo"/>
        <s v="Vacante instru FDP (Opt)"/>
        <s v="Fuentes Roberto Alejandro"/>
        <s v="Montecinos Guzman Elias Daniel"/>
        <s v="Van Laten Facundo Nicolas"/>
        <s v="Gonzalez Guerrero Franco Nicolas"/>
        <s v="Rodriguez Oscar"/>
        <s v="Arin Raul Alberto"/>
        <s v="Rodriguez Matias Walter"/>
        <s v="Pena Daira Yamel"/>
        <s v="Meza Edgardo Joaquin"/>
        <s v="Vacante mec FDP (Opt)"/>
        <s v="Lopez Ezequiel Sebastian"/>
        <s v="Chanqueo Guillermo Lautaro"/>
        <s v="Muñoz Gustavo Alberto"/>
        <s v="Sanchez Alcaraz Rodrigo Ezequiel"/>
        <s v="Nava Eduardo David"/>
        <s v="Cariñe Juan Marcelo"/>
        <s v="Zapata Damian Gilberto"/>
        <s v="Heredia Rogelio Walter Jesus"/>
        <s v="Almonacid Saul Rodrigo"/>
        <s v="Almonacid Edgar Eliel"/>
        <s v="Huenupi Cristian Fabian"/>
        <s v="Inostroza Enzo Alex"/>
        <s v="Vacante compresión FDP "/>
        <s v="Zeni Matias Jesus"/>
        <s v="Soleto Julio Cesar"/>
        <s v="Sandoval Fernando"/>
        <s v="Flores Jose Luis"/>
        <s v="Perez Juan Hector"/>
        <s v="Rosales Jose Luis"/>
        <s v="Quintero Jonathan Carlos"/>
        <s v="Fonseca Juance Luca"/>
        <s v="Marcial Gomez Domingo Alfredo"/>
        <s v="Medel Alfredo Ignacio"/>
        <s v="Barahona Alexis Emanuel"/>
        <s v="Paynemil Jorge Raul"/>
        <s v="Vizcarra Walter Adrian"/>
        <s v="Benedetti Adolfo"/>
        <s v="Garrido Hector Ruben"/>
        <s v="Urbina Omar Dario"/>
        <s v="Arismendi Miqueas Fernando Gabriel"/>
        <s v="Konaschuk Marcelo Nicolas"/>
        <s v="Millapan Ceferino Andres"/>
        <s v="Corvalan Romina Del Carmen"/>
        <s v="Gutierrez Franco Matias"/>
        <s v="Rivera Rosa Camila"/>
        <s v="Navarro Jonathan Adrian"/>
        <s v="Gonzalez Daiana Ayelen"/>
        <s v="Aqueveque Mariana"/>
        <s v="Guerrero Hector Martin"/>
        <s v="Contreras Romina Abigail"/>
        <s v="San Martin Antonella Claudia Graciela"/>
        <s v="Delgado Luciano Miguel"/>
        <s v="Mora Matias"/>
        <s v="Lizaso Federico Gaston"/>
        <s v="Perez Mauro Nicolas"/>
        <s v="Villar Lucas"/>
        <s v="Vazquez Jorge Andres"/>
        <s v="Sanchez Luz Dalila"/>
        <s v="Botella Sergio David"/>
        <s v="Zabala Lopez Claudio Luis Alberto"/>
        <s v="Gonzalez Franco Emanuel"/>
        <s v="Salva Juan Alberto"/>
        <s v="Bustos Jesus Mario"/>
        <s v="Campos Lucas Jose"/>
        <s v="Melgarejo Gaspar Emmanuel"/>
        <s v="San Martin Norberto Antonio"/>
        <s v="Santander Marcos Roman"/>
        <s v="Parada Matias Gonzalo "/>
        <s v="Castro Micaela Aldana"/>
        <s v="Sierra Sergio"/>
        <s v="Olmedo Nahuel Fernando"/>
        <s v="Vega Obreque Yoel Ezequiel"/>
        <s v="Videla Lucas Patricio"/>
        <s v="Villagra Eduardo Rogelio"/>
        <s v="Angelletta Walter Dario"/>
        <s v="Irigoyen Mauro Adrian"/>
        <s v="Gonzalez Nicolas Hipolito"/>
        <s v="Meier Tomas Agustin"/>
        <s v="Garcia Jorge Andres"/>
        <s v="Contreras Hector Hilario"/>
        <s v="Flores Nicolas"/>
        <s v="Barrientos Juan Emilio"/>
        <s v="Telechea Gonzalo Gabriel"/>
        <s v="Ochoa Diego Fernando"/>
        <s v="Chandia Daniel Arcadio"/>
        <s v="Baigorria Rodrigo Emanuel "/>
        <s v="Reyes Castillo Lihuen"/>
        <s v="Echegaray Antonio Facundo Siguen"/>
        <s v="Ganga Luciano"/>
        <s v="Peña Dardo Levis"/>
        <s v="Manzano Peña Rodrigo Arnaldo"/>
        <s v="Martinez Mauricio Alejandro"/>
        <s v="Barrera Poblete Pablo Alejandro"/>
        <s v="Hidalgo Sergio Antonio"/>
        <s v="Alaniz Rodrigo Nicolás"/>
        <s v="Sierpina Cristian Luis"/>
        <s v="Jarpa Matias Leonardo"/>
        <s v="Torres Lorena"/>
        <s v="Escalona Saulo Hermogenes"/>
        <s v="Vacante Trainee genera"/>
        <s v="Sanchez Burgos Fidel Facundo"/>
        <s v="Montiel Gabriel Alberto"/>
        <s v="Kochereschuk Brian Alexis"/>
        <s v="Lopez Ramiro Alejandro Antonio"/>
        <s v="Garcia Leandro Erik Maximiliano"/>
        <s v="Prieto Hugo Ernesto"/>
        <s v="Silva Diego Mauro"/>
        <s v="Alderete Pablo"/>
        <s v="Matus Mondaca Gustavo Adan"/>
        <s v="Firpo Gabriel Cesar Ivan"/>
        <s v="Canales Ruiz Axel Agustín"/>
        <s v="Castillo Guillermo Marcos"/>
        <s v="Rojas Kevin Alexis"/>
        <s v="Rivas Angel Adrian"/>
        <s v="Estrada Rodrigo Maximiliano"/>
        <s v="Arias Francisco Ramon"/>
        <s v="Vacante relevo vacas LBAS"/>
        <s v="Lima Marcos"/>
        <s v="Vacante relevo vacas FDP"/>
        <s v="vacante relevo vacaciones plantas FP"/>
        <s v="Valenzuela Wachnowski Juan Daniel"/>
        <s v="Orduña Marcelo Ruben "/>
        <s v="Vaca Olarte Eulalio"/>
        <s v="Soto Hector Damian"/>
        <s v="Moreno Augusto Armando"/>
        <s v="Medele Jose Gabriel"/>
        <s v="Almendra Josue Damian"/>
        <s v="Rios Ricardo Isaias"/>
        <s v="Sierra Quezada Jorge Antonio"/>
        <s v="Vetoño Oscar Osvaldo"/>
        <s v="Sandoval Sebastian Matias"/>
        <s v="Barros Luis Maximiliano"/>
        <s v="Martinez German Matias"/>
        <s v="Escobar Santiago Esteban"/>
        <s v="Martinez Jonathan Damian"/>
        <s v="Muñoz Cristian Diego"/>
        <s v="Nazario Walter"/>
        <s v="Zara Gustavo Oscar"/>
        <s v="Medel Omar Andres"/>
        <s v="Fernandez Pablo Rodolfo"/>
        <s v="Coronel Hugo Martin"/>
        <s v="Farias Franco Danilo"/>
        <s v="Gonzalez Axel Gabriel"/>
        <s v="Blanco Saul Alberto"/>
        <s v="vacante cuadrilla temporal"/>
        <s v="Jesus Carlos Abraham"/>
        <s v="Diaz Jonatan Nicolas"/>
        <s v="Rosas Diego Nicolas"/>
        <s v="Cardenas Cristian Ivan"/>
        <s v="Corvalan Valentin"/>
        <s v="Canales Laura Karina"/>
        <s v="Ferrari Fernando Gonzalo"/>
        <s v="Valenzuela Lucas Matias"/>
        <s v="VACANTE ALM LT2E"/>
        <s v="Muñoz Sofia Evelyn "/>
        <s v="Luengo David  Gustavo"/>
        <s v="Santana Braian Leonel"/>
        <s v="Poblete Torres Juan Esteban"/>
        <s v="Perez Muzzin Miguel"/>
        <s v="Gonzalez Favio Cesar"/>
        <s v="Vacante Sup COM Y PEM"/>
        <s v="Iglesias Fernando"/>
        <s v="Sabatini Alfredo"/>
        <s v="Bonillo Colina Caryen Adreina"/>
        <s v="Marin Carlos Martin"/>
        <s v="Sanchez Ignacio Emanuel"/>
        <s v="Bustamante Agustin"/>
        <s v="Rodriguez Pablo Nicolas"/>
        <s v="Fariña Sol Agustina"/>
        <s v="Valenzuela Joaquin Thomas"/>
        <s v="Aniñir Juan Emanuel"/>
        <s v="Dip Emir Abdul"/>
        <s v="VACANTE RRHH (Mica)" u="1"/>
        <s v="Vacante Sup. Producción" u="1"/>
        <s v="Ocaranza Jonathan" u="1"/>
        <s v="vacante relevo asis planta" u="1"/>
        <s v="vacante TLM (poblete)" u="1"/>
        <s v="Gonzalez Cesar" u="1"/>
        <s v="DESCRIPCION_PERSONA" u="1"/>
        <s v="Lopez Rodrigo Gaston" u="1"/>
        <s v="Lemos Sergio Dario" u="1"/>
        <s v="Garcia Pereira Maria Jose" u="1"/>
        <s v="Mondaca Ruben Jose" u="1"/>
        <s v="Tessari Julieta Victoria" u="1"/>
        <s v="Caceres Gonzalo Alberto" u="1"/>
        <s v="Vacante1" u="1"/>
        <s v="Sevillano Carlos Gabriel" u="1"/>
        <s v="Marchetti Sabas Martin Ariel" u="1"/>
        <s v="Vacante OT" u="1"/>
        <s v="Mora Daniel Emilio" u="1"/>
        <s v="Palomo Franco Sebastian" u="1"/>
        <s v="Orrego Omar Nelson" u="1"/>
        <s v="Rodriguez Giampaolo Juan Ezequiel" u="1"/>
        <s v="Vacante Integridad" u="1"/>
        <s v="Olea Walter Cesar" u="1"/>
        <s v="Diaz Mauricio Andres" u="1"/>
        <s v="Rebolledo Braian Nahuel" u="1"/>
        <s v="Pamich Mauro Damian" u="1"/>
        <s v="Vacante Tgrales ASAL" u="1"/>
        <s v="Heredia Mario Oscar" u="1"/>
        <s v="Colipy Gerardo Daniel" u="1"/>
        <s v="Chaves Gaston Nicolas" u="1"/>
        <s v="Vacante LTS" u="1"/>
        <s v="Fillippi Victor Adrian" u="1"/>
        <s v="Vacante (ex Garcia  Jorge)" u="1"/>
        <s v="Cofre Miguel Angel" u="1"/>
        <s v="Vacante Alma Troncoso" u="1"/>
        <s v="Gonzalez Cristian Ricardo" u="1"/>
        <s v="Casasola Claudio Mario" u="1"/>
        <s v="Ramos Juan Jose" u="1"/>
        <s v="Reyes Puyol Angel Milton" u="1"/>
        <s v="Abarzua Matzkin Lucas Gabriel" u="1"/>
        <s v="Aguirre Orduña Facundo Gabriel" u="1"/>
        <s v="Gutierrez Maximiliano Ariel" u="1"/>
        <s v="Anachuri Paola Alejandra" u="1"/>
        <s v="Saucedo German Exequiel" u="1"/>
        <s v="Sandoval Cristian " u="1"/>
        <s v="Vacante" u="1"/>
        <s v="Bravo Facundo Alberto" u="1"/>
        <s v="Henriquez Sebastian Marcelo" u="1"/>
        <s v="Troncoso Alma Rocio" u="1"/>
        <s v="Vacante relevo eléctricos" u="1"/>
        <s v="Tapia Facundo" u="1"/>
        <s v="Vacante2" u="1"/>
        <s v="Sepulveda Anibal Ricardo" u="1"/>
        <s v="Karucheck Adrian" u="1"/>
        <s v="Cristin Esteban Baltazar" u="1"/>
        <s v="Vacante relevo vacaciones (eliminar)" u="1"/>
        <s v="Fernandez Abril" u="1"/>
        <s v="Saez Ayuhin Relén" u="1"/>
        <s v="Vacante8" u="1"/>
        <s v="Vacante9" u="1"/>
        <s v="Vacante10" u="1"/>
        <s v="Vacante Mec Flota" u="1"/>
        <s v="Lopez Cortes Francisco Nahuel" u="1"/>
        <s v="Vacante relevo vacaciones" u="1"/>
      </sharedItems>
    </cacheField>
    <cacheField name="FLAG_LICENCIA" numFmtId="0">
      <sharedItems/>
    </cacheField>
    <cacheField name="NACIONALIDAD" numFmtId="0">
      <sharedItems containsMixedTypes="1" containsNumber="1" containsInteger="1" minValue="0" maxValue="0"/>
    </cacheField>
    <cacheField name="USUARIO_DE_RED" numFmtId="0">
      <sharedItems containsMixedTypes="1" containsNumber="1" containsInteger="1" minValue="0" maxValue="0"/>
    </cacheField>
    <cacheField name="OPERACION_PIVOT" numFmtId="0">
      <sharedItems containsBlank="1"/>
    </cacheField>
    <cacheField name="OPERACION_DETALLE" numFmtId="0">
      <sharedItems containsBlank="1"/>
    </cacheField>
    <cacheField name="UO" numFmtId="0">
      <sharedItems containsBlank="1" containsMixedTypes="1" containsNumber="1" containsInteger="1" minValue="1016735" maxValue="1016735"/>
    </cacheField>
    <cacheField name="GERENCIA_JEFATURA" numFmtId="0">
      <sharedItems containsBlank="1"/>
    </cacheField>
    <cacheField name="WC_BC" numFmtId="0">
      <sharedItems containsBlank="1" count="4">
        <s v="WC"/>
        <s v="BC"/>
        <m/>
        <s v="WC_BC" u="1"/>
      </sharedItems>
    </cacheField>
    <cacheField name="SEXO" numFmtId="0">
      <sharedItems containsNonDate="0" containsString="0" containsBlank="1"/>
    </cacheField>
    <cacheField name="RANGO_ETARIO" numFmtId="0">
      <sharedItems containsNonDate="0" containsString="0" containsBlank="1"/>
    </cacheField>
    <cacheField name="EDAD" numFmtId="0">
      <sharedItems containsNonDate="0" containsString="0" containsBlank="1"/>
    </cacheField>
    <cacheField name="ANIOS_ANTIGUEDAD" numFmtId="0">
      <sharedItems containsNonDate="0" containsString="0" containsBlank="1"/>
    </cacheField>
    <cacheField name="GRUPO_ANTIGUEDAD" numFmtId="0">
      <sharedItems containsNonDate="0" containsString="0" containsBlank="1"/>
    </cacheField>
    <cacheField name="FUENTE" numFmtId="0">
      <sharedItems containsBlank="1"/>
    </cacheField>
    <cacheField name="HC" numFmtId="0">
      <sharedItems containsNonDate="0" containsString="0" containsBlank="1"/>
    </cacheField>
    <cacheField name="EA" numFmtId="0">
      <sharedItems containsBlank="1" count="9">
        <s v="SI"/>
        <m/>
        <s v="APROBADA"/>
        <s v="RELEVO VACACIONES"/>
        <s v="NO - RELEVO VACACIONES"/>
        <s v="PF 3 meses"/>
        <s v="EA" u="1"/>
        <s v="NO - SOLAPAMIENTO" u="1"/>
        <s v="NO - EN APROBACIÓ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3360828"/>
    <s v="O&amp;M Services Director"/>
    <s v="EFIS"/>
    <s v="EFIS"/>
    <s v="2020152"/>
    <s v="O&amp;M Services Director"/>
    <s v="DU20916565"/>
    <s v="AR-NEUQUÉN"/>
    <s v="TECPETROL S.A."/>
    <x v="0"/>
    <s v="FPF-FN0940"/>
    <s v="1939"/>
    <s v="Lusso Mauricio Ricardo"/>
    <x v="0"/>
  </r>
  <r>
    <n v="3417016"/>
    <s v="O&amp;M Services Sr. Manager"/>
    <s v="EFIS"/>
    <s v="EFIS"/>
    <m/>
    <s v="O&amp;M Services Sr. Manager"/>
    <s v="DU29109359"/>
    <s v="AR-NEUQUÉN"/>
    <s v="TECPETROL S.A."/>
    <x v="1"/>
    <s v="FPF-FN0940"/>
    <m/>
    <s v="Fabro Facundo"/>
    <x v="0"/>
  </r>
  <r>
    <n v="3197992"/>
    <s v="Maintenance Services Manager"/>
    <s v="EFIS"/>
    <s v="EFIS"/>
    <s v="2020154"/>
    <s v="Maintenance Services Manager"/>
    <s v="DU28636995"/>
    <s v="AR-NEUQUÉN"/>
    <s v="TECPETROL S.A."/>
    <x v="2"/>
    <s v="FPF-FN0940"/>
    <s v="128654"/>
    <s v="Batallan Pablo Alejandro"/>
    <x v="0"/>
  </r>
  <r>
    <n v="3294913"/>
    <s v="Operations Services Manager"/>
    <s v="EFIS"/>
    <s v="EFIS"/>
    <s v="2020153"/>
    <s v="Operations Services Manager"/>
    <s v="DU33774464"/>
    <s v="AR-NEUQUÉN"/>
    <s v="TECPETROL S.A."/>
    <x v="2"/>
    <s v="FPF-FN0940"/>
    <s v="200530"/>
    <s v="Beloqui Leandro"/>
    <x v="0"/>
  </r>
  <r>
    <n v="3364085"/>
    <s v="O&amp;M Optimization Process Analyst"/>
    <s v="EFIS"/>
    <s v="EFIS"/>
    <s v="2021939"/>
    <s v="O&amp;M Optimization Process Analyst"/>
    <s v="DU40927304"/>
    <s v="AR-NEUQUÉN"/>
    <s v="TECPETROL S.A."/>
    <x v="1"/>
    <s v="FPF-FN0940"/>
    <s v="177692"/>
    <s v="Gili Arianna"/>
    <x v="0"/>
  </r>
  <r>
    <n v="3392801"/>
    <s v="Maintenance Services Coordinator"/>
    <s v="EFIS"/>
    <s v="EFIS"/>
    <s v="2022289"/>
    <s v="Maintenance Services Coordinator"/>
    <s v="DU28063207"/>
    <s v="AR-NEUQUÉN"/>
    <s v="Energy Field Services"/>
    <x v="3"/>
    <s v="EFR-FN0920"/>
    <m/>
    <s v="Huarte Esteban "/>
    <x v="1"/>
  </r>
  <r>
    <n v="3392802"/>
    <s v="Operations Services Coordinator"/>
    <s v="EFIS"/>
    <s v="EFIS"/>
    <s v="2022290"/>
    <s v="Operations Services Coordinator"/>
    <s v="DU32090502"/>
    <s v="AR-NEUQUÉN"/>
    <s v="Energy Field Services"/>
    <x v="3"/>
    <s v="EFR-FN0920"/>
    <s v="254827"/>
    <s v="Cordova Daniela Emiliana"/>
    <x v="1"/>
  </r>
  <r>
    <n v="3392803"/>
    <s v="Maintenance Services Coordinator"/>
    <s v="EFIS"/>
    <s v="EFIS"/>
    <s v="2022289"/>
    <s v="Maintenance Services Coordinator"/>
    <s v="DU34666188"/>
    <s v="AR-NEUQUÉN"/>
    <s v="Energy Field Services"/>
    <x v="3"/>
    <s v="EFR-FN0920"/>
    <s v="254833"/>
    <s v="Altamiranda Leandro Damian"/>
    <x v="1"/>
  </r>
  <r>
    <n v="3392804"/>
    <s v="Production Services Coordinator"/>
    <s v="EFIS"/>
    <s v="EFIS"/>
    <s v="2022291"/>
    <s v="Production Services Coordinator"/>
    <s v="DU24131475"/>
    <s v="AR-NEUQUÉN"/>
    <s v="Energy Field Services"/>
    <x v="4"/>
    <s v="EFR-FN2007"/>
    <s v="255159"/>
    <s v="Macias Ceferino Oscar"/>
    <x v="2"/>
  </r>
  <r>
    <n v="3392805"/>
    <s v="Plants Services Coordinator"/>
    <s v="EFIS"/>
    <s v="EFIS"/>
    <s v="2022292"/>
    <s v="Plants Services Coordinator"/>
    <s v="DU32195174"/>
    <s v="AR-NEUQUÉN"/>
    <s v="Energy Field Services"/>
    <x v="4"/>
    <s v="EFR-FN0900"/>
    <s v="254757"/>
    <s v="Bechara Lucas Antonio"/>
    <x v="3"/>
  </r>
  <r>
    <n v="3392806"/>
    <s v="Operations Services Coordinator"/>
    <s v="EFIS"/>
    <s v="EFIS"/>
    <s v="2022290"/>
    <s v="Operations Services Coordinator"/>
    <s v="DU30191811"/>
    <s v="AR-NEUQUÉN"/>
    <s v="Energy Field Services"/>
    <x v="4"/>
    <s v="EFR-FN0920"/>
    <s v="254792"/>
    <s v="Casal Gustavo Daniel"/>
    <x v="1"/>
  </r>
  <r>
    <n v="3392808"/>
    <s v="Technical Training Specialist"/>
    <s v="EFIS"/>
    <s v="EFIS"/>
    <s v="2022294"/>
    <s v="Technical Training Specialist"/>
    <s v="DU36800803"/>
    <s v="AR-NEUQUÉN"/>
    <s v="Energy Field Services"/>
    <x v="4"/>
    <s v="EFR-FN0920"/>
    <s v="254775"/>
    <s v="Poblete Matias Ezequiel"/>
    <x v="1"/>
  </r>
  <r>
    <n v="3406970"/>
    <s v="Oficial Especializado de Oficios"/>
    <s v="EFIS"/>
    <s v="EFIS"/>
    <m/>
    <s v="Oficial Especializado de Oficios"/>
    <s v="DU47368614"/>
    <s v="AR-NEUQUÉN"/>
    <s v="Energy Field Services"/>
    <x v="5"/>
    <s v="EFF-FP0921"/>
    <m/>
    <s v="Gonzalez Mendez Simon"/>
    <x v="4"/>
  </r>
  <r>
    <n v="3414076"/>
    <s v="Maintenance Supervisor"/>
    <s v="EFIS"/>
    <s v="EFIS"/>
    <m/>
    <s v="Maintenance Supervisor"/>
    <s v="DU40778151"/>
    <s v="AR-NEUQUÉN"/>
    <s v="Energy Field Services"/>
    <x v="6"/>
    <s v="EFF-FN1000"/>
    <m/>
    <s v="Gazzola Ezequiel "/>
    <x v="5"/>
  </r>
  <r>
    <n v="3392809"/>
    <s v="O&amp;M Planning Analyst"/>
    <s v="EFIS"/>
    <s v="EFIS"/>
    <m/>
    <s v="O&amp;M Planning Analyst"/>
    <s v="DU41254675"/>
    <s v="AR-NEUQUÉN"/>
    <s v="TECPETROL S.A."/>
    <x v="7"/>
    <s v="FPF-FN0940"/>
    <m/>
    <s v="Baza Coseani Luisina"/>
    <x v="0"/>
  </r>
  <r>
    <n v="3392810"/>
    <s v="Accounts Payable Analyst"/>
    <s v="EFIS"/>
    <s v="EFIS"/>
    <s v="2018032"/>
    <s v="Accounts Payable Analyst"/>
    <s v="DU38493274"/>
    <s v="AR-NEUQUÉN"/>
    <s v="TECPETROL S.A."/>
    <x v="8"/>
    <s v="FPF-FN0940"/>
    <s v="187649"/>
    <s v="Apestegui Juan Pablo"/>
    <x v="0"/>
  </r>
  <r>
    <n v="3392811"/>
    <s v="HRBP Analyst"/>
    <s v="EFIS"/>
    <s v="EFIS"/>
    <s v="2018146"/>
    <s v="HRBP Analyst"/>
    <s v="DU39076574"/>
    <s v="AR-NEUQUÉN"/>
    <s v="Energy Field Services"/>
    <x v="9"/>
    <s v="EFR-FN0941"/>
    <s v="256601"/>
    <s v="Barrera Anahi Malen"/>
    <x v="6"/>
  </r>
  <r>
    <n v="3392812"/>
    <s v="HRBP Sr. Analyst"/>
    <s v="EFIS"/>
    <s v="EFIS"/>
    <s v="2022296"/>
    <s v="HRBP Sr. Analyst"/>
    <s v="DU36801186"/>
    <s v="AR-NEUQUÉN"/>
    <s v="Energy Field Services"/>
    <x v="9"/>
    <s v="EFR-FN0941"/>
    <s v="254980"/>
    <s v="Tarifeño Ernesto Eduardo"/>
    <x v="6"/>
  </r>
  <r>
    <n v="3423705"/>
    <s v="HRBP Sr. Analyst"/>
    <s v="EFIS"/>
    <s v="EFIS"/>
    <m/>
    <s v="HRBP Sr. Analyst"/>
    <s v="DU36257444"/>
    <s v="AR-NEUQUÉN"/>
    <s v="Energy Field Services"/>
    <x v="9"/>
    <s v="EFR-FN0941"/>
    <m/>
    <s v="Soria Agustin Gabriel"/>
    <x v="6"/>
  </r>
  <r>
    <n v="3437875"/>
    <s v="HRBP Analyst"/>
    <s v="EFIS"/>
    <s v="EFIS"/>
    <m/>
    <m/>
    <m/>
    <s v="AR-NEUQUÉN"/>
    <s v="Energy Field Services"/>
    <x v="9"/>
    <s v="EFR-FN0941"/>
    <m/>
    <s v="Vacante RH Jul/26"/>
    <x v="6"/>
  </r>
  <r>
    <n v="3437846"/>
    <s v="Labor Relations Expert"/>
    <s v="EFIS"/>
    <s v="EFIS"/>
    <m/>
    <m/>
    <m/>
    <s v="AR-NEUQUÉN"/>
    <s v="Energy Field Services"/>
    <x v="10"/>
    <s v="EFR-FN0941"/>
    <m/>
    <s v="Vacante RL Sep/26"/>
    <x v="6"/>
  </r>
  <r>
    <n v="3392813"/>
    <s v="Labor Relations Expert"/>
    <s v="EFIS"/>
    <s v="EFIS"/>
    <s v="2022297"/>
    <s v="Labor Relations Expert"/>
    <s v="DU30264777"/>
    <s v="AR-NEUQUÉN"/>
    <s v="Energy Field Services"/>
    <x v="10"/>
    <s v="EFR-FN0941"/>
    <m/>
    <s v="Seguel Maria Fernanda"/>
    <x v="6"/>
  </r>
  <r>
    <n v="3392814"/>
    <s v="Quality Analyst"/>
    <s v="EFIS"/>
    <s v="EFIS"/>
    <s v="2022298"/>
    <s v="Quality Analyst"/>
    <s v="DU36010010"/>
    <s v="AR-NEUQUÉN"/>
    <s v="Energy Field Services"/>
    <x v="11"/>
    <s v="EFR-FN0941"/>
    <m/>
    <s v="Campora Camila María"/>
    <x v="6"/>
  </r>
  <r>
    <n v="3392815"/>
    <s v="General Services Supervisor"/>
    <s v="EFIS"/>
    <s v="EFIS"/>
    <s v="2018419"/>
    <s v="General Services Supervisor"/>
    <s v="DU33067280"/>
    <s v="AR-NEUQUÉN"/>
    <s v="Energy Field Services"/>
    <x v="12"/>
    <s v="EFR-FN0941"/>
    <n v="257138"/>
    <s v="Rizzo Sebastian"/>
    <x v="6"/>
  </r>
  <r>
    <n v="3392816"/>
    <s v="HSE Sr. Supervisor"/>
    <s v="EFIS"/>
    <s v="EFIS"/>
    <s v="2018451"/>
    <s v="HSE Sr. Supervisor"/>
    <s v="DU36669185"/>
    <s v="AR-NEUQUÉN"/>
    <s v="Energy Field Services"/>
    <x v="13"/>
    <s v="EFR-FN0945"/>
    <s v="254879"/>
    <s v="Figueroa Franco Martin"/>
    <x v="7"/>
  </r>
  <r>
    <n v="3392817"/>
    <s v="HSE Sr. Supervisor"/>
    <s v="EFIS"/>
    <s v="EFIS"/>
    <s v="2018451"/>
    <s v="HSE Sr. Supervisor"/>
    <s v="DU33926407"/>
    <s v="AR-NEUQUÉN"/>
    <s v="Energy Field Services"/>
    <x v="13"/>
    <s v="EFR-FN0945"/>
    <m/>
    <s v="Mora Federico"/>
    <x v="7"/>
  </r>
  <r>
    <n v="3392818"/>
    <s v="HSE Sr. Supervisor"/>
    <s v="EFIS"/>
    <s v="EFIS"/>
    <s v="2018451"/>
    <s v="HSE Sr. Supervisor"/>
    <s v="DU28387841"/>
    <s v="AR-NEUQUÉN"/>
    <s v="Energy Field Services"/>
    <x v="13"/>
    <s v="EFR-FN0945"/>
    <s v="254977"/>
    <s v="Sea Oscar Ariel"/>
    <x v="7"/>
  </r>
  <r>
    <n v="3392819"/>
    <s v="HSE Sr. Supervisor"/>
    <s v="EFIS"/>
    <s v="EFIS"/>
    <s v="2018451"/>
    <s v="HSE Sr. Supervisor"/>
    <s v="DU33885206"/>
    <s v="AR-NEUQUÉN"/>
    <s v="Energy Field Services"/>
    <x v="13"/>
    <s v="EFR-FN0945"/>
    <s v="255177"/>
    <s v="Palma Belen del Milagro"/>
    <x v="7"/>
  </r>
  <r>
    <n v="3392820"/>
    <s v="HSE Sr. Supervisor"/>
    <s v="EFIS"/>
    <s v="EFIS"/>
    <s v="2018451"/>
    <s v="HSE Sr. Supervisor"/>
    <s v="DU23918152"/>
    <s v="AR-NEUQUÉN"/>
    <s v="Energy Field Services"/>
    <x v="14"/>
    <s v="EFR-FN0945"/>
    <s v="255221"/>
    <s v="Huaiquiñir Juan Jose"/>
    <x v="7"/>
  </r>
  <r>
    <n v="3392821"/>
    <s v="HSE Sr. Supervisor"/>
    <s v="EFIS"/>
    <s v="EFIS"/>
    <s v="2018451"/>
    <s v="HSE Sr. Supervisor"/>
    <s v="DU28254170"/>
    <s v="AR-NEUQUÉN"/>
    <s v="Energy Field Services"/>
    <x v="14"/>
    <s v="EFR-FN0945"/>
    <s v="255075"/>
    <s v="Galdame Carlos David"/>
    <x v="7"/>
  </r>
  <r>
    <n v="3424838"/>
    <s v="Operations Services Coordinator"/>
    <s v="EFIS"/>
    <s v="EFIS"/>
    <m/>
    <s v="Operations Services Coordinator"/>
    <s v="DU24260286"/>
    <s v="AR-NEUQUÉN"/>
    <s v="Energy Field Services"/>
    <x v="4"/>
    <s v="EFR-2E0970"/>
    <m/>
    <s v="Mercado Mauricio Edgardo"/>
    <x v="8"/>
  </r>
  <r>
    <n v="3424839"/>
    <s v="Operations Services Coordinator"/>
    <s v="EFIS"/>
    <s v="EFIS"/>
    <m/>
    <s v="Operations Services Coordinator"/>
    <s v="DU27841592"/>
    <s v="AR-NEUQUÉN"/>
    <s v="Energy Field Services"/>
    <x v="4"/>
    <s v="EFR-2E0970"/>
    <m/>
    <s v="Fredes Ruben Oscar"/>
    <x v="8"/>
  </r>
  <r>
    <n v="3395761"/>
    <s v="Medical Assistant"/>
    <s v="EFIS"/>
    <s v="EFIS"/>
    <s v="2022393"/>
    <s v="Medical Assistant"/>
    <s v="DU33135662 "/>
    <s v="AR-NEUQUÉN"/>
    <s v="Energy Field Services"/>
    <x v="15"/>
    <s v="EFR-FN0945"/>
    <n v="260722"/>
    <s v="Feruglio Adrian Federico"/>
    <x v="7"/>
  </r>
  <r>
    <n v="3395760"/>
    <s v="Medical Assistant"/>
    <s v="EFIS"/>
    <s v="EFIS"/>
    <s v="2022393"/>
    <s v="Medical Assistant"/>
    <s v="DU26638146"/>
    <s v="AR-NEUQUÉN"/>
    <s v="Energy Field Services"/>
    <x v="15"/>
    <s v="EFR-FN0945"/>
    <n v="260324"/>
    <s v="Schlosser Adolfo Julio"/>
    <x v="7"/>
  </r>
  <r>
    <n v="3392823"/>
    <s v="Environmental Supervisor"/>
    <s v="EFIS"/>
    <s v="EFIS"/>
    <s v="2022300"/>
    <s v="Environmental Supervisor"/>
    <s v="DU33316128"/>
    <s v="AR-NEUQUÉN"/>
    <s v="Energy Field Services"/>
    <x v="16"/>
    <s v="EFR-FN0945"/>
    <s v="256366"/>
    <s v="Leiva Ricardo Alejandro"/>
    <x v="7"/>
  </r>
  <r>
    <n v="3414072"/>
    <s v="Environmental Sr. Supervisor"/>
    <s v="EFIS"/>
    <s v="EFIS"/>
    <m/>
    <s v="Environmental Sr. Supervisor"/>
    <s v="DU36344221"/>
    <s v="AR-NEUQUÉN"/>
    <s v="Energy Field Services"/>
    <x v="16"/>
    <s v="EFR-FN0945"/>
    <m/>
    <s v="Acuña Fernanda Natali"/>
    <x v="7"/>
  </r>
  <r>
    <n v="3392824"/>
    <s v="Health Auxiliar"/>
    <s v="EFIS"/>
    <s v="EFIS"/>
    <s v="2022301"/>
    <s v="Health Auxiliar"/>
    <s v="DU29463906"/>
    <s v="AR-NEUQUÉN"/>
    <s v="Energy Field Services"/>
    <x v="15"/>
    <s v="EFR-FN0945"/>
    <s v="254752"/>
    <s v="Prieto Beatriz Alejandra"/>
    <x v="7"/>
  </r>
  <r>
    <n v="3392825"/>
    <s v="Operations Technology Maint. Engineer"/>
    <s v="EFIS"/>
    <s v="EFIS"/>
    <s v="2022302"/>
    <s v="Operations Technology Maint. Engineer"/>
    <s v="DU33993061"/>
    <s v="AR-NEUQUÉN"/>
    <s v="Energy Field Services"/>
    <x v="17"/>
    <s v="EFR-FN0930"/>
    <s v="254854"/>
    <s v="Crespillo Faur Adrian Alejandro"/>
    <x v="9"/>
  </r>
  <r>
    <n v="3392826"/>
    <s v="Operations Technology Maint. Engineer"/>
    <s v="EFIS"/>
    <s v="EFIS"/>
    <s v="2022302"/>
    <s v="Operations Technology Maint. Engineer"/>
    <s v="DU31806630 "/>
    <s v="AR-NEUQUÉN"/>
    <s v="Energy Field Services"/>
    <x v="17"/>
    <s v="EFR-FN0930"/>
    <m/>
    <s v="Gonzalez Rodrigo Jeremias"/>
    <x v="9"/>
  </r>
  <r>
    <n v="3392827"/>
    <s v="Operations Technology Maint. Engineer"/>
    <s v="EFIS"/>
    <s v="EFIS"/>
    <s v="2022302"/>
    <s v="Operations Technology Maint. Engineer"/>
    <s v="DU37518969"/>
    <s v="AR-NEUQUÉN"/>
    <s v="Energy Field Services"/>
    <x v="17"/>
    <s v="EFR-FN0930"/>
    <s v="254849"/>
    <s v="Forconi Enzo Ramiro"/>
    <x v="9"/>
  </r>
  <r>
    <n v="3392828"/>
    <s v="Operations Technology Maint. Engineer"/>
    <s v="EFIS"/>
    <s v="EFIS"/>
    <s v="2022302"/>
    <s v="Operations Technology Maint. Engineer"/>
    <s v="DU95871315"/>
    <s v="AR-NEUQUÉN"/>
    <s v="Energy Field Services"/>
    <x v="17"/>
    <s v="EFR-FN0930"/>
    <s v="254780"/>
    <s v="Rodriguez Bordones Marcel Josue"/>
    <x v="9"/>
  </r>
  <r>
    <n v="3392829"/>
    <s v="Operations Technology Maint. Engineer"/>
    <s v="EFIS"/>
    <s v="EFIS"/>
    <s v="2022302"/>
    <s v="Operations Technology Maint. Engineer"/>
    <s v="DU37943788"/>
    <s v="AR-NEUQUÉN"/>
    <s v="Energy Field Services"/>
    <x v="17"/>
    <s v="EFR-FN0930"/>
    <m/>
    <s v="Lillo Mauricio"/>
    <x v="9"/>
  </r>
  <r>
    <n v="3392830"/>
    <s v="Operations Technology Maint. Engineer"/>
    <s v="EFIS"/>
    <s v="EFIS"/>
    <s v="2022302"/>
    <s v="Operations Technology Maint. Engineer"/>
    <s v="DU34127114"/>
    <s v="AR-NEUQUÉN"/>
    <s v="Energy Field Services"/>
    <x v="17"/>
    <s v="EFR-FN0930"/>
    <s v="254765"/>
    <s v="Saenz Emiliano Jesus"/>
    <x v="9"/>
  </r>
  <r>
    <n v="3392831"/>
    <s v="Operations Technology Maint. Engineer"/>
    <s v="EFIS"/>
    <s v="EFIS"/>
    <s v="2022302"/>
    <s v="Operations Technology Maint. Engineer"/>
    <s v="DU96032842"/>
    <s v="AR-NEUQUÉN"/>
    <s v="Energy Field Services"/>
    <x v="17"/>
    <s v="EFR-FN0930"/>
    <s v="254760"/>
    <s v="Suarez Jhoana Mariela"/>
    <x v="9"/>
  </r>
  <r>
    <n v="3418339"/>
    <s v="Operations Technology Eng. Engineer"/>
    <s v="EFIS"/>
    <s v="EFIS"/>
    <s v="2022303"/>
    <s v="Operations Technology Eng. Engineer"/>
    <s v="DU31316545"/>
    <s v="AR-NEUQUÉN"/>
    <s v="Energy Field Services"/>
    <x v="18"/>
    <s v="EFR-FN0930"/>
    <s v="254858"/>
    <s v="Marasco Nestor Damian"/>
    <x v="9"/>
  </r>
  <r>
    <n v="3418340"/>
    <s v="Operations Technology Eng. Engineer"/>
    <s v="EFIS"/>
    <s v="EFIS"/>
    <s v="2022303"/>
    <s v="Operations Technology Eng. Engineer"/>
    <s v="DU39881413"/>
    <s v="AR-NEUQUÉN"/>
    <s v="Energy Field Services"/>
    <x v="18"/>
    <s v="EFR-FN0930"/>
    <s v="254861"/>
    <s v="Viluron Santiago Ezequiel"/>
    <x v="9"/>
  </r>
  <r>
    <n v="3392846"/>
    <s v="Integrity Supervisor"/>
    <s v="EFIS"/>
    <s v="EFIS"/>
    <m/>
    <s v="Integrity Supervisor"/>
    <m/>
    <s v="AR-NEUQUÉN"/>
    <s v="Energy Field Services"/>
    <x v="19"/>
    <s v="EFR-FN0931"/>
    <m/>
    <s v="Vacante Sup. Integridad"/>
    <x v="10"/>
  </r>
  <r>
    <n v="3392868"/>
    <s v="Recorredor Especializado"/>
    <s v="EFIS"/>
    <s v="EFIS"/>
    <m/>
    <s v="Recorredor Especializado"/>
    <s v="DU44103409"/>
    <s v="AR-NEUQUÉN"/>
    <s v="Energy Field Services"/>
    <x v="20"/>
    <s v="EFF-LB0901"/>
    <s v="254771"/>
    <s v="Cheuquel Agustin Gabriel"/>
    <x v="11"/>
  </r>
  <r>
    <n v="3392834"/>
    <s v="Maintenance Sr. Supervisor"/>
    <s v="EFIS"/>
    <s v="EFIS"/>
    <s v="2017988"/>
    <s v="Maintenance Sr. Supervisor"/>
    <s v="DU21381134"/>
    <s v="AR-NEUQUÉN"/>
    <s v="Energy Field Services"/>
    <x v="21"/>
    <s v="EFR-FN0910"/>
    <s v="254847"/>
    <s v="Olave Omar Luis"/>
    <x v="12"/>
  </r>
  <r>
    <n v="3392835"/>
    <s v="Maintenance Sr. Supervisor"/>
    <s v="EFIS"/>
    <s v="EFIS"/>
    <m/>
    <s v="Maintenance Sr. Supervisor"/>
    <m/>
    <s v="AR-NEUQUÉN"/>
    <s v="Energy Field Services"/>
    <x v="21"/>
    <s v="EFR-FN0910"/>
    <m/>
    <s v="Vacante Sup. Instrumentos (Poblete J)"/>
    <x v="12"/>
  </r>
  <r>
    <n v="3401242"/>
    <s v="Maintenance Sr. Supervisor"/>
    <s v="EFIS"/>
    <s v="EFIS"/>
    <s v="2017988"/>
    <s v="Maintenance Sr. Supervisor"/>
    <s v="DU33476887"/>
    <s v="AR-NEUQUÉN"/>
    <s v="Energy Field Services"/>
    <x v="22"/>
    <s v="EFR-FN0910"/>
    <s v="255150"/>
    <s v="Bohl Damian Alfredo"/>
    <x v="12"/>
  </r>
  <r>
    <n v="3437843"/>
    <s v="Operations Technology Eng. Engineer"/>
    <s v="EFIS"/>
    <s v="EFIS"/>
    <s v="2022303"/>
    <s v="Operations Technology Eng. Engineer"/>
    <m/>
    <s v="AR-NEUQUÉN"/>
    <s v="Energy Field Services"/>
    <x v="23"/>
    <s v="EFR-FN0930"/>
    <m/>
    <s v="Vacante OT LT2E"/>
    <x v="9"/>
  </r>
  <r>
    <n v="3392836"/>
    <s v="Plant Lead Supervisor"/>
    <s v="EFIS"/>
    <s v="EFIS"/>
    <m/>
    <s v="Plant Lead Supervisor"/>
    <s v="DU25173304"/>
    <s v="AR-NEUQUÉN"/>
    <s v="Energy Field Services"/>
    <x v="24"/>
    <s v="EFF-FP0911"/>
    <s v="255101"/>
    <s v="Inostroza Juan Marcelo"/>
    <x v="13"/>
  </r>
  <r>
    <n v="3392837"/>
    <s v="Plant Lead Supervisor"/>
    <s v="EFIS"/>
    <s v="EFIS"/>
    <m/>
    <s v="Plant Lead Supervisor"/>
    <s v="DU24825640"/>
    <s v="AR-NEUQUÉN"/>
    <s v="Energy Field Services"/>
    <x v="24"/>
    <s v="EFF-FP0911"/>
    <s v="254987"/>
    <s v="Pedrero Jorge Esteban"/>
    <x v="13"/>
  </r>
  <r>
    <n v="3392838"/>
    <s v="Plant Lead Supervisor"/>
    <s v="EFIS"/>
    <s v="EFIS"/>
    <m/>
    <s v="Plant Lead Supervisor"/>
    <s v="DU31341714"/>
    <s v="AR-NEUQUÉN"/>
    <s v="Energy Field Services"/>
    <x v="24"/>
    <s v="EFF-FP0911"/>
    <s v="256591"/>
    <s v="Aguilera Martin Fabian"/>
    <x v="13"/>
  </r>
  <r>
    <n v="3392839"/>
    <s v="Plant Lead Supervisor"/>
    <s v="EFIS"/>
    <s v="EFIS"/>
    <m/>
    <s v="Plant Lead Supervisor"/>
    <s v="DU24817522"/>
    <s v="AR-NEUQUÉN"/>
    <s v="Energy Field Services"/>
    <x v="24"/>
    <s v="EFF-FP0911"/>
    <s v="254826"/>
    <s v="Aquin Jorge Alfredo"/>
    <x v="13"/>
  </r>
  <r>
    <n v="3395767"/>
    <s v="Plant Sr. Supervisor"/>
    <s v="EFIS"/>
    <s v="EFIS"/>
    <m/>
    <s v="Plant Sr. Supervisor"/>
    <s v="DU27994695"/>
    <s v="AR-NEUQUÉN"/>
    <s v="Energy Field Services"/>
    <x v="25"/>
    <s v="EFR-FN0960"/>
    <s v="255696"/>
    <s v="Acuña Israel Maximiliano"/>
    <x v="14"/>
  </r>
  <r>
    <n v="3395519"/>
    <s v="Production Supervisor"/>
    <s v="EFIS"/>
    <s v="EFIS"/>
    <m/>
    <s v="Production Supervisor"/>
    <s v="DU29861604"/>
    <s v="AR-NEUQUÉN"/>
    <s v="Energy Field Services"/>
    <x v="26"/>
    <s v="EFR-FN0960"/>
    <s v="256240"/>
    <s v="Mendoza Segundo Rodolfo"/>
    <x v="14"/>
  </r>
  <r>
    <n v="3395768"/>
    <s v="Production Supervisor"/>
    <s v="EFIS"/>
    <s v="EFIS"/>
    <m/>
    <s v="Production Supervisor"/>
    <s v="DU25113792"/>
    <s v="AR-NEUQUÉN"/>
    <s v="Energy Field Services"/>
    <x v="26"/>
    <s v="EFR-FN0960"/>
    <s v="255019"/>
    <s v="Rivera Jorge David"/>
    <x v="14"/>
  </r>
  <r>
    <n v="3392840"/>
    <s v="Integrity Lead Engineer"/>
    <s v="EFIS"/>
    <s v="EFIS"/>
    <m/>
    <s v="Integrity Lead Engineer"/>
    <s v="DU95753737"/>
    <s v="AR-NEUQUÉN"/>
    <s v="Energy Field Services"/>
    <x v="19"/>
    <s v="EFR-FN0931"/>
    <s v="254862"/>
    <s v="Pedraza Romero Ingrith Cristina"/>
    <x v="10"/>
  </r>
  <r>
    <n v="3392841"/>
    <s v="Maintenance Planning Analyst"/>
    <s v="EFIS"/>
    <s v="EFIS"/>
    <m/>
    <s v="Maintenance Planning Analyst"/>
    <s v="DU32951591"/>
    <s v="AR-NEUQUÉN"/>
    <s v="Energy Field Services"/>
    <x v="27"/>
    <s v="EFR-FN0932"/>
    <s v="254876"/>
    <s v="Zapata Gustavo Ceferino"/>
    <x v="15"/>
  </r>
  <r>
    <n v="3392842"/>
    <s v="Maintenance Planning Analyst"/>
    <s v="EFIS"/>
    <s v="EFIS"/>
    <m/>
    <s v="Maintenance Planning Analyst"/>
    <s v="DU30519172"/>
    <s v="AR-NEUQUÉN"/>
    <s v="Energy Field Services"/>
    <x v="28"/>
    <s v="EFR-FN0932"/>
    <s v="254863"/>
    <s v="Orozco Luciano Nicolas"/>
    <x v="15"/>
  </r>
  <r>
    <n v="3437844"/>
    <s v="Operations Technology Eng. Engineer"/>
    <s v="EFIS"/>
    <s v="EFIS"/>
    <s v="2022303"/>
    <s v="Operations Technology Eng. Engineer"/>
    <m/>
    <s v="AR-NEUQUÉN"/>
    <s v="Energy Field Services"/>
    <x v="23"/>
    <s v="EFR-FN0930"/>
    <m/>
    <s v="Vacante OT LT2E"/>
    <x v="9"/>
  </r>
  <r>
    <n v="3408113"/>
    <s v="Maintenance Planning Analyst"/>
    <s v="EFIS"/>
    <s v="EFIS"/>
    <m/>
    <s v="Maintenance Planning Analyst"/>
    <s v="DU32246164"/>
    <s v="AR-NEUQUÉN"/>
    <s v="Energy Field Services"/>
    <x v="28"/>
    <s v="EFR-FN0932"/>
    <m/>
    <s v="Corti Ortola Cristian Dario "/>
    <x v="15"/>
  </r>
  <r>
    <n v="3392844"/>
    <s v="Integrity Lead Supervisor"/>
    <s v="EFIS"/>
    <s v="EFIS"/>
    <m/>
    <s v="Integrity Lead Supervisor"/>
    <s v="DU22104238"/>
    <s v="AR-NEUQUÉN"/>
    <s v="Energy Field Services"/>
    <x v="19"/>
    <s v="EFR-FN0931"/>
    <s v="255083"/>
    <s v="Garcia Oscar Ariel"/>
    <x v="10"/>
  </r>
  <r>
    <n v="3392845"/>
    <s v="Maintenance Sr. Supervisor"/>
    <s v="EFIS"/>
    <s v="EFIS"/>
    <m/>
    <s v="Maintenance Sr. Supervisor"/>
    <s v="DU35834385"/>
    <s v="AR-NEUQUÉN"/>
    <s v="Energy Field Services"/>
    <x v="29"/>
    <s v="EFR-FN0910"/>
    <s v="255182"/>
    <s v="Sieben Nicolas"/>
    <x v="12"/>
  </r>
  <r>
    <n v="3392960"/>
    <s v="Operador Especializado de Plantas"/>
    <s v="EFIS"/>
    <s v="EFIS"/>
    <m/>
    <s v="Operador Especializado de Plantas"/>
    <s v="DU39129973"/>
    <s v="AR-NEUQUÉN"/>
    <s v="Energy Field Services"/>
    <x v="30"/>
    <s v="EFF-FP0907"/>
    <s v="254831"/>
    <s v="Canales Vanina Daniela"/>
    <x v="16"/>
  </r>
  <r>
    <n v="3414070"/>
    <s v="HSE Lead Supervisor"/>
    <s v="EFIS"/>
    <s v="EFIS"/>
    <m/>
    <s v="HSE Lead Supervisor"/>
    <m/>
    <s v="AR-NEUQUÉN"/>
    <s v="Energy Field Services"/>
    <x v="15"/>
    <s v="EFF-FN1000"/>
    <m/>
    <s v="Vacante Sup SAS TLM"/>
    <x v="5"/>
  </r>
  <r>
    <n v="3414075"/>
    <s v="Integrity Engineering Engineer"/>
    <s v="EFIS"/>
    <s v="EFIS"/>
    <s v="2017988"/>
    <s v="Integrity Engineering Engineer"/>
    <s v="DU38092352"/>
    <s v="AR-NEUQUÉN"/>
    <s v="Energy Field Services"/>
    <x v="6"/>
    <s v="EFF-FN1000"/>
    <s v="254860"/>
    <s v="Chalop Marcos"/>
    <x v="5"/>
  </r>
  <r>
    <n v="3437943"/>
    <s v="TLM2 Supervisor Mantenimiento"/>
    <s v="EFIS"/>
    <s v="EFIS"/>
    <m/>
    <m/>
    <m/>
    <s v="AR-NEUQUÉN"/>
    <s v="Energy Field Services"/>
    <x v="6"/>
    <s v="EFF-FN1005"/>
    <m/>
    <m/>
    <x v="17"/>
  </r>
  <r>
    <n v="3392843"/>
    <s v="O&amp;M Control lead analyst"/>
    <s v="EFIS"/>
    <s v="EFIS"/>
    <m/>
    <s v="O&amp;M Control lead analyst"/>
    <s v="DU26783746 "/>
    <s v="AR-NEUQUÉN"/>
    <s v="Energy Field Services"/>
    <x v="28"/>
    <s v="EFR-FN0932"/>
    <s v="254984"/>
    <s v="Muccela Jose Daniel"/>
    <x v="15"/>
  </r>
  <r>
    <n v="3418975"/>
    <s v="Ingresante sin experiencia"/>
    <s v="EFIS"/>
    <s v="EFIS"/>
    <m/>
    <s v="Ingresante sin experiencia"/>
    <m/>
    <s v="AR-NEUQUÉN"/>
    <s v="Energy Field Services"/>
    <x v="5"/>
    <s v="EFF-FP0944"/>
    <m/>
    <s v="VACANTE RELEVO VACAS MECÁNICOS"/>
    <x v="18"/>
  </r>
  <r>
    <n v="3392822"/>
    <s v="HSE Sr. Supervisor"/>
    <s v="EFIS"/>
    <s v="EFIS"/>
    <s v="2018451"/>
    <s v="HSE Sr. Supervisor"/>
    <s v="DU35899723"/>
    <s v="AR-NEUQUÉN"/>
    <s v="Energy Field Services"/>
    <x v="31"/>
    <s v="EFR-FN0945"/>
    <m/>
    <s v="Wilton Smith"/>
    <x v="7"/>
  </r>
  <r>
    <n v="3414077"/>
    <s v="TLM Services Coordinator"/>
    <s v="EFIS"/>
    <s v="EFIS"/>
    <m/>
    <s v="TLM Services Coordinator"/>
    <s v="DU41437832 "/>
    <s v="AR-NEUQUÉN"/>
    <s v="Energy Field Services"/>
    <x v="3"/>
    <s v="EFF-FN1000"/>
    <m/>
    <s v="Saffe Julian Agustín"/>
    <x v="5"/>
  </r>
  <r>
    <n v="3424476"/>
    <s v="Facilities Operations Lead Supervisor"/>
    <s v="EFIS"/>
    <s v="EFIS"/>
    <m/>
    <s v="Facilities Operations Lead Supervisor"/>
    <s v="DU30824024"/>
    <s v="AR-NEUQUÉN"/>
    <s v="Energy Field Services"/>
    <x v="32"/>
    <s v="EFR-FN2000"/>
    <m/>
    <s v="Orellana Omar Ismael"/>
    <x v="19"/>
  </r>
  <r>
    <n v="3424477"/>
    <s v="Chemical Treatment Lead Supervisor"/>
    <s v="EFIS"/>
    <s v="EFIS"/>
    <m/>
    <s v="Chemical Treatment Lead Supervisor"/>
    <s v="DU29554367"/>
    <s v="AR-NEUQUÉN"/>
    <s v="Energy Field Services"/>
    <x v="33"/>
    <s v="EFR-FN2000"/>
    <m/>
    <s v="Rodriguez Lucas Matias"/>
    <x v="19"/>
  </r>
  <r>
    <n v="3437611"/>
    <s v="General Services Supervisor"/>
    <s v="EFIS"/>
    <s v="EFIS"/>
    <m/>
    <s v="General Services Supervisor"/>
    <s v="DU21389528 "/>
    <s v="AR-NEUQUÉN"/>
    <s v="Energy Field Services"/>
    <x v="12"/>
    <s v="EFR-FN2005"/>
    <m/>
    <s v="Bartusch Fabian"/>
    <x v="20"/>
  </r>
  <r>
    <n v="3437848"/>
    <s v="General Services Supervisor"/>
    <s v="EFIS"/>
    <s v="EFIS"/>
    <m/>
    <s v="General Services Supervisor"/>
    <s v="DU39523923"/>
    <s v="AR-NEUQUÉN"/>
    <s v="Energy Field Services"/>
    <x v="12"/>
    <s v="EFR-FN2005"/>
    <m/>
    <s v="Martinez Juan Manuel"/>
    <x v="20"/>
  </r>
  <r>
    <n v="3437845"/>
    <s v="General Services Supervisor"/>
    <s v="EFIS"/>
    <s v="EFIS"/>
    <m/>
    <m/>
    <s v="DU35382241"/>
    <s v="AR-NEUQUÉN"/>
    <s v="Energy Field Services"/>
    <x v="12"/>
    <s v="EFR-FN0941"/>
    <m/>
    <s v="Cual Roxana"/>
    <x v="6"/>
  </r>
  <r>
    <n v="3437876"/>
    <s v="Well Services Supervisor"/>
    <s v="EFIS"/>
    <s v="EFIS"/>
    <m/>
    <s v="Well Services Supervisor"/>
    <s v="DU32352316"/>
    <s v="AR-NEUQUÉN"/>
    <s v="Energy Field Services"/>
    <x v="34"/>
    <s v="EFR-FN2007"/>
    <m/>
    <s v="Fiore Marco Cesar"/>
    <x v="2"/>
  </r>
  <r>
    <n v="3437877"/>
    <s v="Well Services Supervisor"/>
    <s v="EFIS"/>
    <s v="EFIS"/>
    <m/>
    <s v="Well Services Supervisor"/>
    <s v="DU21750188"/>
    <s v="AR-NEUQUÉN"/>
    <s v="Energy Field Services"/>
    <x v="34"/>
    <s v="EFR-FN2007"/>
    <m/>
    <s v="Lozano Jorge Alberto"/>
    <x v="2"/>
  </r>
  <r>
    <n v="3437762"/>
    <s v="Sup. Interf y entregas"/>
    <s v="EFIS"/>
    <s v="EFIS"/>
    <m/>
    <m/>
    <m/>
    <s v="AR-NEUQUÉN"/>
    <s v="Energy Field Services"/>
    <x v="35"/>
    <s v="EFF-2E2002"/>
    <m/>
    <s v="Vacante Sup. Interf/Entregas"/>
    <x v="21"/>
  </r>
  <r>
    <n v="3437763"/>
    <s v="Sup. Interf y entregas"/>
    <s v="EFIS"/>
    <s v="EFIS"/>
    <m/>
    <m/>
    <m/>
    <s v="AR-NEUQUÉN"/>
    <s v="Energy Field Services"/>
    <x v="35"/>
    <s v="EFF-2E2002"/>
    <m/>
    <s v="Vacante Sup. Interf/Entregas"/>
    <x v="21"/>
  </r>
  <r>
    <n v="3437764"/>
    <s v="Sup. Interf y entregas"/>
    <s v="EFIS"/>
    <s v="EFIS"/>
    <m/>
    <m/>
    <m/>
    <s v="AR-NEUQUÉN"/>
    <s v="Energy Field Services"/>
    <x v="35"/>
    <s v="EFF-2E2002"/>
    <m/>
    <s v="Vacante Sup. Interf/Entregas"/>
    <x v="21"/>
  </r>
  <r>
    <n v="3392847"/>
    <s v="Operador Especializado Semi Jr. Plantas"/>
    <s v="EFIS"/>
    <s v="EFIS"/>
    <m/>
    <s v="Operador Especializado Semi Jr. Plantas"/>
    <s v="DU31020868"/>
    <s v="AR-NEUQUÉN"/>
    <s v="Energy Field Services"/>
    <x v="20"/>
    <s v="EFF-LB0908"/>
    <s v="256993"/>
    <s v="Alcaraz Gonzalo Ruben"/>
    <x v="22"/>
  </r>
  <r>
    <n v="3392848"/>
    <s v="Operador Principal"/>
    <s v="EFIS"/>
    <s v="EFIS"/>
    <m/>
    <s v="Operador Principal"/>
    <s v="DU27046756"/>
    <s v="AR-NEUQUÉN"/>
    <s v="Energy Field Services"/>
    <x v="20"/>
    <s v="EFF-LB0908"/>
    <s v="254838"/>
    <s v="Nimbro Andres Alejandro"/>
    <x v="22"/>
  </r>
  <r>
    <n v="3392849"/>
    <s v="Operador Principal"/>
    <s v="EFIS"/>
    <s v="EFIS"/>
    <m/>
    <s v="Operador Principal"/>
    <s v="DU26149215"/>
    <s v="AR-NEUQUÉN"/>
    <s v="Energy Field Services"/>
    <x v="20"/>
    <s v="EFF-LB0908"/>
    <s v="255222"/>
    <s v="Ijurco Jose Luis"/>
    <x v="22"/>
  </r>
  <r>
    <n v="3392850"/>
    <s v="Recorredor Especializado"/>
    <s v="EFIS"/>
    <s v="EFIS"/>
    <m/>
    <s v="Recorredor Especializado"/>
    <s v="DU31314191"/>
    <s v="AR-NEUQUÉN"/>
    <s v="Energy Field Services"/>
    <x v="20"/>
    <s v="EFF-LB0908"/>
    <s v="255074"/>
    <s v="Fuentes Osvaldo Nazareno"/>
    <x v="22"/>
  </r>
  <r>
    <n v="3392851"/>
    <s v="Ingresante de Plantas"/>
    <s v="EFIS"/>
    <s v="EFIS"/>
    <m/>
    <s v="Ingresante de Plantas"/>
    <s v="DU42910545"/>
    <s v="AR-NEUQUÉN"/>
    <s v="Energy Field Services"/>
    <x v="20"/>
    <s v="EFF-LB0908"/>
    <s v="255258"/>
    <s v="Sepulveda Miño Matias Ariel"/>
    <x v="22"/>
  </r>
  <r>
    <n v="3392852"/>
    <s v="Ingresante de Plantas"/>
    <s v="EFIS"/>
    <s v="EFIS"/>
    <m/>
    <s v="Ingresante de Plantas"/>
    <s v="DU42518590"/>
    <s v="AR-NEUQUÉN"/>
    <s v="Energy Field Services"/>
    <x v="20"/>
    <s v="EFF-LB0908"/>
    <s v="255254"/>
    <s v="Abarzua Ruiu Jose Ignacio"/>
    <x v="22"/>
  </r>
  <r>
    <n v="3392853"/>
    <s v="Operador Especializado Semi Jr. Plantas"/>
    <s v="EFIS"/>
    <s v="EFIS"/>
    <m/>
    <s v="Operador Especializado Semi Jr. Plantas"/>
    <s v="DU26132258"/>
    <s v="AR-NEUQUÉN"/>
    <s v="Energy Field Services"/>
    <x v="20"/>
    <s v="EFF-LB0908"/>
    <s v="255040"/>
    <s v="Tapia Dario Andres"/>
    <x v="22"/>
  </r>
  <r>
    <n v="3392854"/>
    <s v="Operador Especializado de Plantas"/>
    <s v="EFIS"/>
    <s v="EFIS"/>
    <m/>
    <s v="Operador Especializado de Plantas"/>
    <s v="DU24659935"/>
    <s v="AR-NEUQUÉN"/>
    <s v="Energy Field Services"/>
    <x v="20"/>
    <s v="EFF-LB0908"/>
    <s v="255223"/>
    <s v="Insulza Sergio Ramon"/>
    <x v="22"/>
  </r>
  <r>
    <n v="3392855"/>
    <s v="Operador Especializado de Plantas"/>
    <s v="EFIS"/>
    <s v="EFIS"/>
    <m/>
    <s v="Operador Especializado de Plantas"/>
    <s v="DU33285275"/>
    <s v="AR-NEUQUÉN"/>
    <s v="Energy Field Services"/>
    <x v="20"/>
    <s v="EFF-LB0908"/>
    <s v="255129"/>
    <s v="Sepulveda Gustavo Andres"/>
    <x v="22"/>
  </r>
  <r>
    <n v="3392856"/>
    <s v="Operador Especializado Semi Jr. Plantas"/>
    <s v="EFIS"/>
    <s v="EFIS"/>
    <m/>
    <s v="Operador Especializado Semi Jr. Plantas"/>
    <s v="DU31173446"/>
    <s v="AR-NEUQUÉN"/>
    <s v="Energy Field Services"/>
    <x v="20"/>
    <s v="EFF-LB0908"/>
    <s v="255125"/>
    <s v="Navarrete Miguel Andres"/>
    <x v="22"/>
  </r>
  <r>
    <n v="3392857"/>
    <s v="Ingresante de Plantas"/>
    <s v="EFIS"/>
    <s v="EFIS"/>
    <m/>
    <s v="Ingresante de Plantas"/>
    <s v="DU35492858"/>
    <s v="AR-NEUQUÉN"/>
    <s v="Energy Field Services"/>
    <x v="20"/>
    <s v="EFF-LB0908"/>
    <s v="255262"/>
    <s v="Fuentes Guillermo Ivan"/>
    <x v="22"/>
  </r>
  <r>
    <n v="3392858"/>
    <s v="Ingresante de Plantas"/>
    <s v="EFIS"/>
    <s v="EFIS"/>
    <m/>
    <s v="Ingresante de Plantas"/>
    <s v="DU95988960"/>
    <s v="AR-NEUQUÉN"/>
    <s v="Energy Field Services"/>
    <x v="20"/>
    <s v="EFF-LB0908"/>
    <s v="255263"/>
    <s v="Medina Chourio Luis Guillermo"/>
    <x v="22"/>
  </r>
  <r>
    <n v="3392859"/>
    <s v="Operador Especializado de Plantas"/>
    <s v="EFIS"/>
    <s v="EFIS"/>
    <m/>
    <s v="Operador Especializado de Plantas"/>
    <s v="DU16197017"/>
    <s v="AR-NEUQUÉN"/>
    <s v="Energy Field Services"/>
    <x v="20"/>
    <s v="EFF-LB0908"/>
    <s v="254843"/>
    <s v="Valdez Mario Sergio"/>
    <x v="22"/>
  </r>
  <r>
    <n v="3392860"/>
    <s v="Ingresante de Plantas"/>
    <s v="EFIS"/>
    <s v="EFIS"/>
    <m/>
    <s v="Ingresante de Plantas"/>
    <s v="DU43530857"/>
    <s v="AR-NEUQUÉN"/>
    <s v="Energy Field Services"/>
    <x v="20"/>
    <s v="EFF-LB0904"/>
    <s v="255293"/>
    <s v="Espinoza Jose Luis"/>
    <x v="23"/>
  </r>
  <r>
    <n v="3392861"/>
    <s v="Ingresante de Plantas"/>
    <s v="EFIS"/>
    <s v="EFIS"/>
    <m/>
    <s v="Ingresante de Plantas"/>
    <s v="DU36840081"/>
    <s v="AR-NEUQUÉN"/>
    <s v="Energy Field Services"/>
    <x v="20"/>
    <s v="EFF-LB0904"/>
    <n v="263314"/>
    <s v="Rebolledo Brian Nahuel"/>
    <x v="23"/>
  </r>
  <r>
    <n v="3392862"/>
    <s v="Ayudante de Plantas"/>
    <s v="EFIS"/>
    <s v="EFIS"/>
    <m/>
    <s v="Ayudante de Plantas"/>
    <s v="DU24659848"/>
    <s v="AR-NEUQUÉN"/>
    <s v="Energy Field Services"/>
    <x v="20"/>
    <s v="EFR-FN0929"/>
    <s v="255194"/>
    <s v="Gomez Carlos Oscar"/>
    <x v="24"/>
  </r>
  <r>
    <n v="3392863"/>
    <s v="Administrativo de Almacén"/>
    <s v="EFIS"/>
    <s v="EFIS"/>
    <m/>
    <s v="Administrativo de Almacén"/>
    <s v="DU30584916"/>
    <s v="AR-NEUQUÉN"/>
    <s v="Energy Field Services"/>
    <x v="30"/>
    <s v="EFF-FP0942"/>
    <s v="254890"/>
    <s v="Bilbao Raul Alberto"/>
    <x v="25"/>
  </r>
  <r>
    <n v="3392864"/>
    <s v="Ayudante de Almacén"/>
    <s v="EFIS"/>
    <s v="EFIS"/>
    <m/>
    <s v="Ayudante de Almacén"/>
    <s v="DU36514053"/>
    <s v="AR-NEUQUÉN"/>
    <s v="Energy Field Services"/>
    <x v="30"/>
    <s v="EFF-FP0942"/>
    <m/>
    <s v="Galera Carla Debora"/>
    <x v="25"/>
  </r>
  <r>
    <n v="3392865"/>
    <s v="Recorredor Especializado"/>
    <s v="EFIS"/>
    <s v="EFIS"/>
    <m/>
    <s v="Recorredor Especializado"/>
    <s v="DU27238140"/>
    <s v="AR-NEUQUÉN"/>
    <s v="Energy Field Services"/>
    <x v="20"/>
    <s v="EFF-LB0901"/>
    <s v="254753"/>
    <s v="Solorza Cristian Alejandro"/>
    <x v="11"/>
  </r>
  <r>
    <n v="3392866"/>
    <s v="Recorredor Especializado"/>
    <s v="EFIS"/>
    <s v="EFIS"/>
    <m/>
    <s v="Recorredor Especializado"/>
    <s v="DU29027641"/>
    <s v="AR-NEUQUÉN"/>
    <s v="Energy Field Services"/>
    <x v="20"/>
    <s v="EFF-LB0901"/>
    <s v="255097"/>
    <s v="Jara Jonathan Jose Ariel"/>
    <x v="11"/>
  </r>
  <r>
    <n v="3392867"/>
    <s v="Recorredor Especializado"/>
    <s v="EFIS"/>
    <s v="EFIS"/>
    <m/>
    <s v="Recorredor Especializado"/>
    <s v="DU34220747"/>
    <s v="AR-NEUQUÉN"/>
    <s v="Energy Field Services"/>
    <x v="20"/>
    <s v="EFF-LB0901"/>
    <s v="255220"/>
    <s v="Hernandez Denis Alfredo"/>
    <x v="11"/>
  </r>
  <r>
    <n v="3427236"/>
    <s v="HSE Sr. Supervisor"/>
    <s v="EFIS"/>
    <s v="EFIS"/>
    <m/>
    <s v="HSE Sr. Supervisor"/>
    <s v="DU31923558"/>
    <s v="AR-NEUQUÉN"/>
    <s v="Energy Field Services"/>
    <x v="31"/>
    <s v="EFR-FN0945"/>
    <m/>
    <s v="Kissner Nelson  Daniel"/>
    <x v="7"/>
  </r>
  <r>
    <n v="3392869"/>
    <s v="Recorredor"/>
    <s v="EFIS"/>
    <s v="EFIS"/>
    <m/>
    <s v="Recorredor"/>
    <s v="DU32570313"/>
    <s v="AR-NEUQUÉN"/>
    <s v="Energy Field Services"/>
    <x v="20"/>
    <s v="EFF-LB0901"/>
    <s v="254845"/>
    <s v="Benegas Silvio Sebastian"/>
    <x v="11"/>
  </r>
  <r>
    <n v="3392870"/>
    <s v="Recorredor Especializado"/>
    <s v="EFIS"/>
    <s v="EFIS"/>
    <m/>
    <s v="Recorredor Especializado"/>
    <s v="DU38495228"/>
    <s v="AR-NEUQUÉN"/>
    <s v="Energy Field Services"/>
    <x v="20"/>
    <s v="EFF-LB0901"/>
    <s v="255008"/>
    <s v="Godoy Juan Manuel"/>
    <x v="11"/>
  </r>
  <r>
    <n v="3392871"/>
    <s v="Recorredor Semi Jr."/>
    <s v="EFIS"/>
    <s v="EFIS"/>
    <m/>
    <s v="Recorredor Semi Jr."/>
    <s v="DU41010522"/>
    <s v="AR-NEUQUÉN"/>
    <s v="Energy Field Services"/>
    <x v="20"/>
    <s v="EFF-LB0901"/>
    <s v="255188"/>
    <s v="Marin Juan Agustin"/>
    <x v="11"/>
  </r>
  <r>
    <n v="3392872"/>
    <s v="Recorredor Semi Jr."/>
    <s v="EFIS"/>
    <s v="EFIS"/>
    <m/>
    <s v="Recorredor Semi Jr."/>
    <s v="DU37176013"/>
    <s v="AR-NEUQUÉN"/>
    <s v="Energy Field Services"/>
    <x v="20"/>
    <s v="EFF-LB0901"/>
    <s v="254766"/>
    <s v="Moreno Maira Ayelen"/>
    <x v="11"/>
  </r>
  <r>
    <n v="3392873"/>
    <s v="Recorredor"/>
    <s v="EFIS"/>
    <s v="EFIS"/>
    <m/>
    <s v="Recorredor"/>
    <s v="DU37946313"/>
    <s v="AR-NEUQUÉN"/>
    <s v="Energy Field Services"/>
    <x v="20"/>
    <s v="EFF-LB0901"/>
    <s v="255816"/>
    <s v="Cayhueque Claudio Alejandro"/>
    <x v="11"/>
  </r>
  <r>
    <n v="3392874"/>
    <s v="Recorredor Especializado"/>
    <s v="EFIS"/>
    <s v="EFIS"/>
    <m/>
    <s v="Recorredor Especializado"/>
    <s v="DU32746948"/>
    <s v="AR-NEUQUÉN"/>
    <s v="Energy Field Services"/>
    <x v="20"/>
    <s v="EFF-LB0901"/>
    <s v="255000"/>
    <s v="Reyes Jose Angel"/>
    <x v="11"/>
  </r>
  <r>
    <n v="3392875"/>
    <s v="Recorredor Semi Jr."/>
    <s v="EFIS"/>
    <s v="EFIS"/>
    <m/>
    <s v="Recorredor Semi Jr."/>
    <s v="DU92945733"/>
    <s v="AR-NEUQUÉN"/>
    <s v="Energy Field Services"/>
    <x v="20"/>
    <s v="EFF-LB0901"/>
    <s v="254898"/>
    <s v="Castro Cifuentes Roberto Andres"/>
    <x v="11"/>
  </r>
  <r>
    <n v="3392876"/>
    <s v="Oficial Especializado de Oficios"/>
    <s v="EFIS"/>
    <s v="EFIS"/>
    <m/>
    <s v="Oficial Especializado de Oficios"/>
    <s v="DU36712459"/>
    <s v="AR-NEUQUÉN"/>
    <s v="Energy Field Services"/>
    <x v="20"/>
    <s v="EFF-LB0923"/>
    <n v="258097"/>
    <s v="Olmos Matias Emanuel"/>
    <x v="26"/>
  </r>
  <r>
    <n v="3392877"/>
    <s v="Operador Principal de Cuadrilla"/>
    <s v="EFIS"/>
    <s v="EFIS"/>
    <m/>
    <s v="Operador Principal de Cuadrilla"/>
    <s v="DU32292825"/>
    <s v="AR-NEUQUÉN"/>
    <s v="Energy Field Services"/>
    <x v="20"/>
    <s v="EFF-LB0923"/>
    <s v="255148"/>
    <s v="Meza Daniel Alejandro"/>
    <x v="26"/>
  </r>
  <r>
    <n v="3392878"/>
    <s v="Operador Principal de Cuadrilla"/>
    <s v="EFIS"/>
    <s v="EFIS"/>
    <m/>
    <s v="Operador Principal de Cuadrilla"/>
    <s v="DU28413149"/>
    <s v="AR-NEUQUÉN"/>
    <s v="Energy Field Services"/>
    <x v="20"/>
    <s v="EFF-LB0922"/>
    <s v="255042"/>
    <s v="Vazquez Diego Augusto"/>
    <x v="27"/>
  </r>
  <r>
    <n v="3392879"/>
    <s v="Oficial Especializado de Oficios"/>
    <s v="EFIS"/>
    <s v="EFIS"/>
    <m/>
    <s v="Oficial Especializado de Oficios"/>
    <s v="DU31099482"/>
    <s v="AR-NEUQUÉN"/>
    <s v="Energy Field Services"/>
    <x v="20"/>
    <s v="EFF-LB0922"/>
    <s v="255227"/>
    <s v="Lavarini San Roman Cristhian Andres"/>
    <x v="27"/>
  </r>
  <r>
    <n v="3392880"/>
    <s v="Oficial de Oficios"/>
    <s v="EFIS"/>
    <s v="EFIS"/>
    <m/>
    <s v="Oficial de Oficios"/>
    <s v="DU41590041"/>
    <s v="AR-NEUQUÉN"/>
    <s v="Energy Field Services"/>
    <x v="20"/>
    <s v="EFF-LB0921"/>
    <s v="255186"/>
    <s v="Diaz Nicolas Nahuel"/>
    <x v="28"/>
  </r>
  <r>
    <n v="3392881"/>
    <s v="Operador Principal de Cuadrilla"/>
    <s v="EFIS"/>
    <s v="EFIS"/>
    <m/>
    <s v="Operador Principal de Cuadrilla"/>
    <s v="DU23346669"/>
    <s v="AR-NEUQUÉN"/>
    <s v="Energy Field Services"/>
    <x v="20"/>
    <s v="EFF-LB0921"/>
    <s v="254751"/>
    <s v="Mulbayer Nestor Omar"/>
    <x v="28"/>
  </r>
  <r>
    <n v="3392882"/>
    <s v="Ayudante de Oficios"/>
    <s v="EFIS"/>
    <s v="EFIS"/>
    <m/>
    <s v="Ayudante de Oficios"/>
    <s v="DU46330132"/>
    <s v="AR-NEUQUÉN"/>
    <s v="Energy Field Services"/>
    <x v="20"/>
    <s v="EFF-LB0921"/>
    <s v="255190"/>
    <s v="Muñoz Luciano Franco Sebastian"/>
    <x v="28"/>
  </r>
  <r>
    <n v="3392883"/>
    <s v="Oficial Especializado de Oficios"/>
    <s v="EFIS"/>
    <s v="EFIS"/>
    <m/>
    <s v="Oficial Especializado de Oficios"/>
    <s v="DU37101594"/>
    <s v="AR-NEUQUÉN"/>
    <s v="Energy Field Services"/>
    <x v="20"/>
    <s v="EFF-LB0925"/>
    <s v="254829"/>
    <s v="Arancena Leandro Alfredo"/>
    <x v="29"/>
  </r>
  <r>
    <n v="3392884"/>
    <s v="Oficial Sr. de Oficios"/>
    <s v="EFIS"/>
    <s v="EFIS"/>
    <m/>
    <s v="Oficial Sr. de Oficios"/>
    <s v="DU21626829"/>
    <s v="AR-NEUQUÉN"/>
    <s v="Energy Field Services"/>
    <x v="20"/>
    <s v="EFF-LB0925"/>
    <s v="255692"/>
    <s v="Cancino Carlos Ruben"/>
    <x v="29"/>
  </r>
  <r>
    <n v="3392885"/>
    <s v="Operador Principal de Cuadrilla"/>
    <s v="EFIS"/>
    <s v="EFIS"/>
    <m/>
    <s v="Operador Principal de Cuadrilla"/>
    <s v="DU25042689"/>
    <s v="AR-NEUQUÉN"/>
    <s v="Energy Field Services"/>
    <x v="20"/>
    <s v="EFF-LB0925"/>
    <s v="255228"/>
    <s v="Leguizamon Eusebio"/>
    <x v="29"/>
  </r>
  <r>
    <n v="3393252"/>
    <s v="Oficial Especializado de Oficios"/>
    <s v="EFIS"/>
    <s v="EFIS"/>
    <m/>
    <s v="Oficial Especializado de Oficios"/>
    <s v="DU24392753"/>
    <s v="AR-NEUQUÉN"/>
    <s v="Energy Field Services"/>
    <x v="5"/>
    <s v="EFF-FP0925"/>
    <s v="263288"/>
    <s v="De la Fuente Daniel Antonio"/>
    <x v="30"/>
  </r>
  <r>
    <n v="3392886"/>
    <s v="Operador Principal"/>
    <s v="EFIS"/>
    <s v="EFIS"/>
    <m/>
    <s v="Operador Principal"/>
    <s v="DU27739939"/>
    <s v="AR-NEUQUÉN"/>
    <s v="Energy Field Services"/>
    <x v="20"/>
    <s v="EFF-AS0908"/>
    <s v="255084"/>
    <s v="Garayalde Victor Ariel"/>
    <x v="31"/>
  </r>
  <r>
    <n v="3392887"/>
    <s v="Operador Principal"/>
    <s v="EFIS"/>
    <s v="EFIS"/>
    <m/>
    <s v="Operador Principal"/>
    <s v="DU37758896"/>
    <s v="AR-NEUQUÉN"/>
    <s v="Energy Field Services"/>
    <x v="20"/>
    <s v="EFF-AS0908"/>
    <s v="255114"/>
    <s v="Petretto Angel Guillermo"/>
    <x v="31"/>
  </r>
  <r>
    <n v="3392888"/>
    <s v="Operador Principal"/>
    <s v="EFIS"/>
    <s v="EFIS"/>
    <m/>
    <s v="Operador Principal"/>
    <s v="DU33941810"/>
    <s v="AR-NEUQUÉN"/>
    <s v="Energy Field Services"/>
    <x v="20"/>
    <s v="EFF-AS0908"/>
    <s v="254988"/>
    <s v="Pichel Javier Alejandro"/>
    <x v="31"/>
  </r>
  <r>
    <n v="3392889"/>
    <s v="Operador Principal"/>
    <s v="EFIS"/>
    <s v="EFIS"/>
    <m/>
    <s v="Operador Principal"/>
    <s v="DU29428368"/>
    <s v="AR-NEUQUÉN"/>
    <s v="Energy Field Services"/>
    <x v="20"/>
    <s v="EFF-AS0908"/>
    <s v="255031"/>
    <s v="Sanchez Raul Dario"/>
    <x v="31"/>
  </r>
  <r>
    <n v="3392890"/>
    <s v="Operador Especializado Semi Jr. Plantas"/>
    <s v="EFIS"/>
    <s v="EFIS"/>
    <m/>
    <s v="Operador Especializado Semi Jr. Plantas"/>
    <s v="DU33302240"/>
    <s v="AR-NEUQUÉN"/>
    <s v="Energy Field Services"/>
    <x v="20"/>
    <s v="EFF-AS0908"/>
    <s v="254855"/>
    <s v="Caceres Hernan Rodrigo"/>
    <x v="31"/>
  </r>
  <r>
    <n v="3392891"/>
    <s v="Operador Especializado Semi Jr. Plantas"/>
    <s v="EFIS"/>
    <s v="EFIS"/>
    <m/>
    <s v="Operador Especializado Semi Jr. Plantas"/>
    <s v="DU17434162"/>
    <s v="AR-NEUQUÉN"/>
    <s v="Energy Field Services"/>
    <x v="20"/>
    <s v="EFF-AS0908"/>
    <s v="255163"/>
    <s v="Hechenleitner Carlos Walter"/>
    <x v="31"/>
  </r>
  <r>
    <n v="3392892"/>
    <s v="Operador Especializado Semi Jr. Plantas"/>
    <s v="EFIS"/>
    <s v="EFIS"/>
    <m/>
    <s v="Operador Especializado Semi Jr. Plantas"/>
    <s v="DU37758974"/>
    <s v="AR-NEUQUÉN"/>
    <s v="Energy Field Services"/>
    <x v="20"/>
    <s v="EFF-AS0908"/>
    <s v="254883"/>
    <s v="Pichel Daniela Andrea"/>
    <x v="31"/>
  </r>
  <r>
    <n v="3392893"/>
    <s v="Operador Especializado Semi Jr. Plantas"/>
    <s v="EFIS"/>
    <s v="EFIS"/>
    <m/>
    <s v="Operador Especializado Semi Jr. Plantas"/>
    <s v="DU39866462"/>
    <s v="AR-NEUQUÉN"/>
    <s v="Energy Field Services"/>
    <x v="20"/>
    <s v="EFF-AS0908"/>
    <s v="255127"/>
    <s v="Velez Leandro Gabriel"/>
    <x v="31"/>
  </r>
  <r>
    <n v="3392894"/>
    <s v=" Recorredor Especializado"/>
    <s v="EFIS"/>
    <s v="EFIS"/>
    <m/>
    <s v=" Recorredor Especializado"/>
    <s v="DU40111059"/>
    <s v="AR-NEUQUÉN"/>
    <s v="Energy Field Services"/>
    <x v="20"/>
    <s v="EFF-AS0901"/>
    <s v="254764"/>
    <s v="Romero Rodrigo Ariel"/>
    <x v="32"/>
  </r>
  <r>
    <n v="3392895"/>
    <s v="Oficial Sr. de Oficios"/>
    <s v="EFIS"/>
    <s v="EFIS"/>
    <m/>
    <s v="Oficial Sr. de Oficios"/>
    <s v="DU20502072"/>
    <s v="AR-NEUQUÉN"/>
    <s v="Energy Field Services"/>
    <x v="20"/>
    <s v="EFF-AS0904"/>
    <s v="254871"/>
    <s v="Cardozo Marcos Dante"/>
    <x v="33"/>
  </r>
  <r>
    <n v="3392897"/>
    <s v="Ayudante de Plantas"/>
    <s v="EFIS"/>
    <s v="EFIS"/>
    <m/>
    <s v="Ayudante de Plantas"/>
    <s v="DU39869621"/>
    <s v="AR-NEUQUÉN"/>
    <s v="Energy Field Services"/>
    <x v="20"/>
    <s v="EFF-AS0904"/>
    <s v="255208"/>
    <s v="Paris Ruiz Braian"/>
    <x v="33"/>
  </r>
  <r>
    <n v="3392899"/>
    <s v="Recorredor Especializado"/>
    <s v="EFIS"/>
    <s v="EFIS"/>
    <m/>
    <s v="Recorredor Especializado"/>
    <s v="DU30496337"/>
    <s v="AR-NEUQUÉN"/>
    <s v="Energy Field Services"/>
    <x v="20"/>
    <s v="EFF-AS0901"/>
    <s v="254867"/>
    <s v="Campo Mauricio Gonzalo"/>
    <x v="32"/>
  </r>
  <r>
    <n v="3392900"/>
    <s v="Recorredor Especializado"/>
    <s v="EFIS"/>
    <s v="EFIS"/>
    <m/>
    <s v="Recorredor Especializado"/>
    <s v="DU30384995"/>
    <s v="AR-NEUQUÉN"/>
    <s v="Energy Field Services"/>
    <x v="20"/>
    <s v="EFF-AS0901"/>
    <s v="255155"/>
    <s v="Giner Jose Luis"/>
    <x v="32"/>
  </r>
  <r>
    <n v="3392901"/>
    <s v="Recorredor Especializado"/>
    <s v="EFIS"/>
    <s v="EFIS"/>
    <m/>
    <s v="Recorredor Especializado"/>
    <s v="DU28254164"/>
    <s v="AR-NEUQUÉN"/>
    <s v="Energy Field Services"/>
    <x v="20"/>
    <s v="EFF-AS0901"/>
    <s v="254761"/>
    <s v="Mardones Santiago Oscar"/>
    <x v="32"/>
  </r>
  <r>
    <n v="3392902"/>
    <s v="Recorredor Especializado"/>
    <s v="EFIS"/>
    <s v="EFIS"/>
    <m/>
    <s v="Recorredor Especializado"/>
    <s v="DU24026927"/>
    <s v="AR-NEUQUÉN"/>
    <s v="Energy Field Services"/>
    <x v="20"/>
    <s v="EFF-AS0901"/>
    <s v="254839"/>
    <s v="Olate Nestor Fabian"/>
    <x v="32"/>
  </r>
  <r>
    <n v="3392903"/>
    <s v="Recorredor Especializado"/>
    <s v="EFIS"/>
    <s v="EFIS"/>
    <m/>
    <s v="Recorredor Especializado"/>
    <s v="DU33485558"/>
    <s v="AR-NEUQUÉN"/>
    <s v="Energy Field Services"/>
    <x v="20"/>
    <s v="EFF-AS0901"/>
    <s v="254997"/>
    <s v="Pereyra Jonatan Denis"/>
    <x v="32"/>
  </r>
  <r>
    <n v="3392904"/>
    <s v="Recorredor Especializado"/>
    <s v="EFIS"/>
    <s v="EFIS"/>
    <m/>
    <s v="Recorredor Especializado"/>
    <s v="DU30724331"/>
    <s v="AR-NEUQUÉN"/>
    <s v="Energy Field Services"/>
    <x v="20"/>
    <s v="EFF-AS0901"/>
    <s v="255012"/>
    <s v="Riveira Jose Alfredo"/>
    <x v="32"/>
  </r>
  <r>
    <n v="3392905"/>
    <s v="Recorredor Especializado"/>
    <s v="EFIS"/>
    <s v="EFIS"/>
    <m/>
    <s v="Recorredor Especializado"/>
    <s v="DU27647925"/>
    <s v="AR-NEUQUÉN"/>
    <s v="Energy Field Services"/>
    <x v="20"/>
    <s v="EFF-AS0901"/>
    <s v="255687"/>
    <s v="Vazquez Diego Gonzalo"/>
    <x v="32"/>
  </r>
  <r>
    <n v="3392906"/>
    <s v="Recorredor Especializado"/>
    <s v="EFIS"/>
    <s v="EFIS"/>
    <m/>
    <s v="Recorredor Especializado"/>
    <s v="DU27773643"/>
    <s v="AR-NEUQUÉN"/>
    <s v="Energy Field Services"/>
    <x v="20"/>
    <s v="EFF-AS0901"/>
    <s v="255032"/>
    <s v="Sepulveda Cristian Enzo"/>
    <x v="32"/>
  </r>
  <r>
    <n v="3392907"/>
    <s v="Recorredor Especializado"/>
    <s v="EFIS"/>
    <s v="EFIS"/>
    <m/>
    <s v="Recorredor Especializado"/>
    <s v="DU21985000"/>
    <s v="AR-NEUQUÉN"/>
    <s v="Energy Field Services"/>
    <x v="20"/>
    <s v="EFF-AS0901"/>
    <s v="254789"/>
    <s v="Acevedo Jose Luis"/>
    <x v="32"/>
  </r>
  <r>
    <n v="3392908"/>
    <s v="Recorredor Especializado"/>
    <s v="EFIS"/>
    <s v="EFIS"/>
    <m/>
    <s v="Recorredor Especializado"/>
    <s v="DU30496418"/>
    <s v="AR-NEUQUÉN"/>
    <s v="Energy Field Services"/>
    <x v="20"/>
    <s v="EFF-AS0901"/>
    <s v="255095"/>
    <s v="Garavaglia German Gabriel"/>
    <x v="32"/>
  </r>
  <r>
    <n v="3392909"/>
    <s v="Recorredor Especializado"/>
    <s v="EFIS"/>
    <s v="EFIS"/>
    <m/>
    <s v="Recorredor Especializado"/>
    <s v="DU30496473"/>
    <s v="AR-NEUQUÉN"/>
    <s v="Energy Field Services"/>
    <x v="20"/>
    <s v="EFF-AS0901"/>
    <s v="255225"/>
    <s v="Jara Pablo Andres"/>
    <x v="32"/>
  </r>
  <r>
    <n v="3392910"/>
    <s v="Recorredor Especializado"/>
    <s v="EFIS"/>
    <s v="EFIS"/>
    <m/>
    <s v="Recorredor Especializado"/>
    <s v="DU22855885"/>
    <s v="AR-NEUQUÉN"/>
    <s v="Energy Field Services"/>
    <x v="20"/>
    <s v="EFF-AS0901"/>
    <s v="255028"/>
    <s v="Romero Walter Dario"/>
    <x v="32"/>
  </r>
  <r>
    <n v="3392911"/>
    <s v="Medio Oficial Recorredor"/>
    <s v="EFIS"/>
    <s v="EFIS"/>
    <m/>
    <s v="Medio Oficial Recorredor"/>
    <s v="DU27614355"/>
    <s v="AR-NEUQUÉN"/>
    <s v="Energy Field Services"/>
    <x v="20"/>
    <s v="EFF-AS0901"/>
    <s v="254991"/>
    <s v="Pograniczny Mauricio Fabian"/>
    <x v="32"/>
  </r>
  <r>
    <n v="3392912"/>
    <s v="Recorredor Especializado"/>
    <s v="EFIS"/>
    <s v="EFIS"/>
    <m/>
    <s v="Recorredor Especializado"/>
    <s v="DU25259053"/>
    <s v="AR-NEUQUÉN"/>
    <s v="Energy Field Services"/>
    <x v="20"/>
    <s v="EFF-AS0901"/>
    <s v="254762"/>
    <s v="Marianetti Mauricio Daniel"/>
    <x v="32"/>
  </r>
  <r>
    <n v="3392913"/>
    <s v="Recorredor Semi Jr."/>
    <s v="EFIS"/>
    <s v="EFIS"/>
    <m/>
    <s v="Recorredor Semi Jr."/>
    <s v="DU37598999"/>
    <s v="AR-NEUQUÉN"/>
    <s v="Energy Field Services"/>
    <x v="20"/>
    <s v="EFF-AS0901"/>
    <s v="254828"/>
    <s v="Rebolledo Maximiliano Carlos"/>
    <x v="32"/>
  </r>
  <r>
    <n v="3392914"/>
    <s v="Recorredor Semi Jr."/>
    <s v="EFIS"/>
    <s v="EFIS"/>
    <m/>
    <s v="Recorredor Semi Jr."/>
    <s v="DU39869649"/>
    <s v="AR-NEUQUÉN"/>
    <s v="Energy Field Services"/>
    <x v="20"/>
    <s v="EFF-AS0901"/>
    <m/>
    <s v="Pograniczny Omar Denis"/>
    <x v="32"/>
  </r>
  <r>
    <n v="3392915"/>
    <s v="Oficial de Oficios"/>
    <s v="EFIS"/>
    <s v="EFIS"/>
    <m/>
    <s v="Oficial de Oficios"/>
    <s v="DU43892263"/>
    <s v="AR-NEUQUÉN"/>
    <s v="Energy Field Services"/>
    <x v="20"/>
    <s v="EFF-AS0923"/>
    <s v="255214"/>
    <s v="Avalo Enzo Gustavo Martin"/>
    <x v="34"/>
  </r>
  <r>
    <n v="3392916"/>
    <s v="Operador Principal de Cuadrilla"/>
    <s v="EFIS"/>
    <s v="EFIS"/>
    <m/>
    <s v="Operador Principal de Cuadrilla"/>
    <s v="DU22012489"/>
    <s v="AR-NEUQUÉN"/>
    <s v="Energy Field Services"/>
    <x v="20"/>
    <s v="EFF-AS0923"/>
    <s v="255079"/>
    <s v="Zuñiga Anibal"/>
    <x v="34"/>
  </r>
  <r>
    <n v="3392917"/>
    <s v="Operador Principal de Cuadrilla"/>
    <s v="EFIS"/>
    <s v="EFIS"/>
    <m/>
    <s v="Operador Principal de Cuadrilla"/>
    <s v="DU33485529"/>
    <s v="AR-NEUQUÉN"/>
    <s v="Energy Field Services"/>
    <x v="20"/>
    <s v="EFF-AS0922"/>
    <s v="254840"/>
    <s v="Balastegui Jorge Luis"/>
    <x v="35"/>
  </r>
  <r>
    <n v="3392918"/>
    <s v="Operador Principal de Cuadrilla"/>
    <s v="EFIS"/>
    <s v="EFIS"/>
    <m/>
    <s v="Operador Principal de Cuadrilla"/>
    <s v="DU23883553"/>
    <s v="AR-NEUQUÉN"/>
    <s v="Energy Field Services"/>
    <x v="20"/>
    <s v="EFF-AS0922"/>
    <s v="255076"/>
    <s v="Velez Jose Esteban"/>
    <x v="35"/>
  </r>
  <r>
    <n v="3392919"/>
    <s v="Operador Principal de Cuadrilla"/>
    <s v="EFIS"/>
    <s v="EFIS"/>
    <m/>
    <s v="Operador Principal de Cuadrilla"/>
    <s v="DU33331242"/>
    <s v="AR-NEUQUÉN"/>
    <s v="Energy Field Services"/>
    <x v="20"/>
    <s v="EFF-AS0921"/>
    <s v="254772"/>
    <s v="Meza Dante Luciano"/>
    <x v="36"/>
  </r>
  <r>
    <n v="3392920"/>
    <s v="Operador Principal de Cuadrilla"/>
    <s v="EFIS"/>
    <s v="EFIS"/>
    <m/>
    <s v="Operador Principal de Cuadrilla"/>
    <s v="DU21638891"/>
    <s v="AR-NEUQUÉN"/>
    <s v="Energy Field Services"/>
    <x v="20"/>
    <s v="EFF-AS0921"/>
    <s v="255005"/>
    <s v="Rios Victor Armando"/>
    <x v="36"/>
  </r>
  <r>
    <n v="3392921"/>
    <s v="Oficial Especializado de Oficios"/>
    <s v="EFIS"/>
    <s v="EFIS"/>
    <m/>
    <s v="Oficial Especializado de Oficios"/>
    <s v="DU21916259"/>
    <s v="AR-NEUQUÉN"/>
    <s v="Energy Field Services"/>
    <x v="20"/>
    <s v="EFF-AS0922"/>
    <s v="254836"/>
    <s v="Arriagada Walter David"/>
    <x v="35"/>
  </r>
  <r>
    <n v="3392922"/>
    <s v="Operador Principal de Cuadrilla"/>
    <s v="EFIS"/>
    <s v="EFIS"/>
    <m/>
    <s v="Operador Principal de Cuadrilla"/>
    <s v="DU26082374"/>
    <s v="AR-NEUQUÉN"/>
    <s v="Energy Field Services"/>
    <x v="20"/>
    <s v="EFF-AS0925"/>
    <s v="255224"/>
    <s v="Jahan Enrique Gonzalo"/>
    <x v="37"/>
  </r>
  <r>
    <n v="3392923"/>
    <s v="Oficial de Oficios"/>
    <s v="EFIS"/>
    <s v="EFIS"/>
    <m/>
    <s v="Oficial de Oficios"/>
    <s v="DU26881097"/>
    <s v="AR-NEUQUÉN"/>
    <s v="Energy Field Services"/>
    <x v="20"/>
    <s v="EFF-AS0925"/>
    <s v="255103"/>
    <s v="Olguin Nelson Antonio"/>
    <x v="37"/>
  </r>
  <r>
    <n v="3392924"/>
    <s v="Oficial Especializado de Oficios"/>
    <s v="EFIS"/>
    <s v="EFIS"/>
    <m/>
    <s v="Oficial Especializado de Oficios"/>
    <s v="DU31600510"/>
    <s v="AR-NEUQUÉN"/>
    <s v="Energy Field Services"/>
    <x v="20"/>
    <s v="EFF-AS0925"/>
    <s v="254990"/>
    <s v="Diaz Antonio"/>
    <x v="37"/>
  </r>
  <r>
    <n v="3392925"/>
    <s v="Operador Especializado de Plantas"/>
    <s v="EFIS"/>
    <s v="EFIS"/>
    <m/>
    <s v="Operador Especializado de Plantas"/>
    <s v="DU38147510"/>
    <s v="AR-NEUQUÉN"/>
    <s v="Energy Field Services"/>
    <x v="30"/>
    <s v="EFF-FP0906"/>
    <s v="254781"/>
    <s v="Montecino Miguel Angel"/>
    <x v="38"/>
  </r>
  <r>
    <n v="3392926"/>
    <s v="Operador Especializado de Plantas"/>
    <s v="EFIS"/>
    <s v="EFIS"/>
    <m/>
    <s v="Operador Especializado de Plantas"/>
    <s v="DU33610908"/>
    <s v="AR-NEUQUÉN"/>
    <s v="Energy Field Services"/>
    <x v="30"/>
    <s v="EFF-FP0906"/>
    <s v="255142"/>
    <s v="Tortosa Garcia Luis Aricelio"/>
    <x v="38"/>
  </r>
  <r>
    <n v="3392927"/>
    <s v="Operador Especializado de Plantas"/>
    <s v="EFIS"/>
    <s v="EFIS"/>
    <m/>
    <s v="Operador Especializado de Plantas"/>
    <s v="DU44604989"/>
    <s v="AR-NEUQUÉN"/>
    <s v="Energy Field Services"/>
    <x v="30"/>
    <s v="EFF-FP0906"/>
    <s v="254901"/>
    <s v="Castillo Marion Itati"/>
    <x v="38"/>
  </r>
  <r>
    <n v="3392941"/>
    <s v="Operador Especializado de Plantas"/>
    <s v="EFIS"/>
    <s v="EFIS"/>
    <m/>
    <s v="Operador Especializado de Plantas"/>
    <s v="DU22236756"/>
    <s v="AR-NEUQUÉN"/>
    <s v="Energy Field Services"/>
    <x v="30"/>
    <s v="EFF-FP0905"/>
    <s v="255111"/>
    <s v="Huenchullan Jose Enrique"/>
    <x v="39"/>
  </r>
  <r>
    <n v="3392929"/>
    <s v="Operador Especializado de Plantas"/>
    <s v="EFIS"/>
    <s v="EFIS"/>
    <m/>
    <s v="Operador Especializado de Plantas"/>
    <s v="DU44122295"/>
    <s v="AR-NEUQUÉN"/>
    <s v="Energy Field Services"/>
    <x v="30"/>
    <s v="EFF-FP0906"/>
    <s v="255174"/>
    <s v="Pereyra Gianluca"/>
    <x v="38"/>
  </r>
  <r>
    <n v="3392930"/>
    <s v="Operador Especializado de Plantas"/>
    <s v="EFIS"/>
    <s v="EFIS"/>
    <m/>
    <s v="Operador Especializado de Plantas"/>
    <s v="DU35313504"/>
    <s v="AR-NEUQUÉN"/>
    <s v="Energy Field Services"/>
    <x v="30"/>
    <s v="EFF-FP0906"/>
    <m/>
    <s v="Perea Maximiliano Exequiel"/>
    <x v="38"/>
  </r>
  <r>
    <n v="3392935"/>
    <s v="Operador Especializado de Plantas"/>
    <s v="EFIS"/>
    <s v="EFIS"/>
    <m/>
    <s v="Operador Especializado de Plantas"/>
    <s v="DU28624132"/>
    <s v="AR-NEUQUÉN"/>
    <s v="Energy Field Services"/>
    <x v="30"/>
    <s v="EFF-FP0905"/>
    <s v="254777"/>
    <s v="Cordoba Diego Gerardo"/>
    <x v="39"/>
  </r>
  <r>
    <n v="3392932"/>
    <s v="Operador Especializado de Plantas"/>
    <s v="EFIS"/>
    <s v="EFIS"/>
    <m/>
    <s v="Operador Especializado de Plantas"/>
    <s v="DU96013867"/>
    <s v="AR-NEUQUÉN"/>
    <s v="Energy Field Services"/>
    <x v="30"/>
    <s v="EFF-FP0906"/>
    <s v="254899"/>
    <s v="Ventura Montoya Fernando Jose"/>
    <x v="38"/>
  </r>
  <r>
    <n v="3392933"/>
    <s v="Operador Especializado de Plantas"/>
    <s v="EFIS"/>
    <s v="EFIS"/>
    <m/>
    <s v="Operador Especializado de Plantas"/>
    <s v="DU37856483"/>
    <s v="AR-NEUQUÉN"/>
    <s v="Energy Field Services"/>
    <x v="30"/>
    <s v="EFF-FP0906"/>
    <s v="255153"/>
    <s v="Contreras Nahir Kalis"/>
    <x v="38"/>
  </r>
  <r>
    <n v="3392934"/>
    <s v="Operador Especializado de Plantas"/>
    <s v="EFIS"/>
    <s v="EFIS"/>
    <m/>
    <s v="Operador Especializado de Plantas"/>
    <s v="DU35178521"/>
    <s v="AR-NEUQUÉN"/>
    <s v="Energy Field Services"/>
    <x v="30"/>
    <s v="EFF-FP0905"/>
    <s v="254981"/>
    <s v="Lara Oscar Alexis"/>
    <x v="39"/>
  </r>
  <r>
    <n v="3392958"/>
    <s v="Operador Especializado de Plantas"/>
    <s v="EFIS"/>
    <s v="EFIS"/>
    <m/>
    <s v="Operador Especializado de Plantas"/>
    <s v="DU45258911"/>
    <s v="AR-NEUQUÉN"/>
    <s v="Energy Field Services"/>
    <x v="30"/>
    <s v="EFF-FP0908"/>
    <s v="255210"/>
    <s v="Almonacid Santiago Rodrigo"/>
    <x v="40"/>
  </r>
  <r>
    <n v="3392936"/>
    <s v="Operador Especializado de Plantas"/>
    <s v="EFIS"/>
    <s v="EFIS"/>
    <m/>
    <s v="Operador Especializado de Plantas"/>
    <s v="DU40067099"/>
    <s v="AR-NEUQUÉN"/>
    <s v="Energy Field Services"/>
    <x v="30"/>
    <s v="EFF-FP0905"/>
    <s v="255170"/>
    <s v="Querci Lucas Hernan"/>
    <x v="39"/>
  </r>
  <r>
    <n v="3392937"/>
    <s v="Operador Especializado de Plantas"/>
    <s v="EFIS"/>
    <s v="EFIS"/>
    <m/>
    <s v="Operador Especializado de Plantas"/>
    <s v="DU40293570"/>
    <s v="AR-NEUQUÉN"/>
    <s v="Energy Field Services"/>
    <x v="30"/>
    <s v="EFF-FP0905"/>
    <s v="254763"/>
    <s v="Paz Heredia Martin Nicolas"/>
    <x v="39"/>
  </r>
  <r>
    <n v="3392938"/>
    <s v="Operador Especializado de Plantas"/>
    <s v="EFIS"/>
    <s v="EFIS"/>
    <m/>
    <s v="Operador Especializado de Plantas"/>
    <s v="DU20436984"/>
    <s v="AR-NEUQUÉN"/>
    <s v="Energy Field Services"/>
    <x v="30"/>
    <s v="EFF-FP0905"/>
    <s v="255029"/>
    <s v="Estelrrig Miguel Horacio"/>
    <x v="39"/>
  </r>
  <r>
    <n v="3392939"/>
    <s v="Operador Especializado de Plantas"/>
    <s v="EFIS"/>
    <s v="EFIS"/>
    <m/>
    <s v="Operador Especializado de Plantas"/>
    <s v="DU25308875"/>
    <s v="AR-NEUQUÉN"/>
    <s v="Energy Field Services"/>
    <x v="30"/>
    <s v="EFF-FP0905"/>
    <s v="254992"/>
    <s v="Querci Norman Gabriel"/>
    <x v="39"/>
  </r>
  <r>
    <n v="3392940"/>
    <s v="Operador Especializado de Plantas"/>
    <s v="EFIS"/>
    <s v="EFIS"/>
    <m/>
    <s v="Operador Especializado de Plantas"/>
    <s v="DU31760927"/>
    <s v="AR-NEUQUÉN"/>
    <s v="Energy Field Services"/>
    <x v="30"/>
    <s v="EFF-FP0905"/>
    <s v="254955"/>
    <s v="Velasquez Rodrigo Martin"/>
    <x v="39"/>
  </r>
  <r>
    <n v="3392928"/>
    <s v="Operador Especializado de Plantas"/>
    <s v="EFIS"/>
    <s v="EFIS"/>
    <m/>
    <s v="Operador Especializado de Plantas"/>
    <s v="DU41706620"/>
    <s v="AR-NEUQUÉN"/>
    <s v="Energy Field Services"/>
    <x v="30"/>
    <s v="EFF-FP0906"/>
    <s v="255265"/>
    <s v="Nicloux Grecia Macarena"/>
    <x v="38"/>
  </r>
  <r>
    <n v="3392942"/>
    <s v="Operador Especializado de Plantas"/>
    <s v="EFIS"/>
    <s v="EFIS"/>
    <m/>
    <s v="Operador Especializado de Plantas"/>
    <s v="DU46257883"/>
    <s v="AR-NEUQUÉN"/>
    <s v="Energy Field Services"/>
    <x v="30"/>
    <s v="EFF-FP0905"/>
    <m/>
    <s v="Romero Tobias Juan Cruz"/>
    <x v="39"/>
  </r>
  <r>
    <n v="3392943"/>
    <s v="Operador Especializado de Plantas"/>
    <s v="EFIS"/>
    <s v="EFIS"/>
    <m/>
    <s v="Operador Especializado de Plantas"/>
    <s v="DU32119820"/>
    <s v="AR-NEUQUÉN"/>
    <s v="Energy Field Services"/>
    <x v="30"/>
    <s v="EFF-FP0905"/>
    <s v="255034"/>
    <s v="Figueroa Pablo Emanuel"/>
    <x v="39"/>
  </r>
  <r>
    <n v="3392944"/>
    <s v="Operador Especializado de Plantas"/>
    <s v="EFIS"/>
    <s v="EFIS"/>
    <m/>
    <s v="Operador Especializado de Plantas"/>
    <s v="DU29418337"/>
    <s v="AR-NEUQUÉN"/>
    <s v="Energy Field Services"/>
    <x v="30"/>
    <s v="EFF-FP0905"/>
    <s v="255080"/>
    <s v="Mendez Daniela Tamara"/>
    <x v="39"/>
  </r>
  <r>
    <n v="3392945"/>
    <s v="Operador Especializado de Plantas"/>
    <s v="EFIS"/>
    <s v="EFIS"/>
    <m/>
    <s v="Operador Especializado de Plantas"/>
    <s v="DU43703442"/>
    <s v="AR-NEUQUÉN"/>
    <s v="Energy Field Services"/>
    <x v="30"/>
    <s v="EFF-FP0908"/>
    <n v="259477"/>
    <s v="Sanchez Millarin Claudio"/>
    <x v="40"/>
  </r>
  <r>
    <n v="3392946"/>
    <s v="Operador Especializado de Plantas"/>
    <s v="EFIS"/>
    <s v="EFIS"/>
    <m/>
    <s v="Operador Especializado de Plantas"/>
    <s v="DU39544442"/>
    <s v="AR-NEUQUÉN"/>
    <s v="Energy Field Services"/>
    <x v="30"/>
    <s v="EFF-FP0908"/>
    <s v="255266"/>
    <s v="Rivolta Magali Soledad"/>
    <x v="40"/>
  </r>
  <r>
    <n v="3392947"/>
    <s v="Operador Especializado de Plantas"/>
    <s v="EFIS"/>
    <s v="EFIS"/>
    <m/>
    <s v="Operador Especializado de Plantas"/>
    <s v="DU46068665"/>
    <s v="AR-NEUQUÉN"/>
    <s v="Energy Field Services"/>
    <x v="30"/>
    <s v="EFF-FP0908"/>
    <s v="255091"/>
    <s v="Puel Luciano Nazaret"/>
    <x v="40"/>
  </r>
  <r>
    <n v="3392948"/>
    <s v="Operador de Plantas"/>
    <s v="EFIS"/>
    <s v="EFIS"/>
    <m/>
    <s v="Operador de Plantas"/>
    <s v="DU45734542"/>
    <s v="AR-NEUQUÉN"/>
    <s v="Energy Field Services"/>
    <x v="30"/>
    <s v="EFF-FP0908"/>
    <s v="254958"/>
    <s v="Fernandez Abel Nicolás"/>
    <x v="40"/>
  </r>
  <r>
    <n v="3392950"/>
    <s v="Operador Especializado de Plantas"/>
    <s v="EFIS"/>
    <s v="EFIS"/>
    <m/>
    <s v="Operador Especializado de Plantas"/>
    <s v="DU38799396"/>
    <s v="AR-NEUQUÉN"/>
    <s v="Energy Field Services"/>
    <x v="30"/>
    <s v="EFF-FP0908"/>
    <s v="255154"/>
    <s v="Marchand Marcos"/>
    <x v="40"/>
  </r>
  <r>
    <n v="3392951"/>
    <s v="Operador Especializado de Plantas"/>
    <s v="EFIS"/>
    <s v="EFIS"/>
    <m/>
    <s v="Operador Especializado de Plantas"/>
    <s v="DU44323094"/>
    <s v="AR-NEUQUÉN"/>
    <s v="Energy Field Services"/>
    <x v="30"/>
    <s v="EFF-FP0908"/>
    <s v="254882"/>
    <s v="Barros Tobares Tomas"/>
    <x v="40"/>
  </r>
  <r>
    <n v="3392952"/>
    <s v="Ingresante de Plantas"/>
    <s v="EFIS"/>
    <s v="EFIS"/>
    <m/>
    <s v="Ingresante de Plantas"/>
    <s v="DU33618500"/>
    <s v="AR-NEUQUÉN"/>
    <s v="Energy Field Services"/>
    <x v="30"/>
    <s v="EFF-FP0908"/>
    <s v="254758"/>
    <s v="Lemos Gustavo Damian"/>
    <x v="40"/>
  </r>
  <r>
    <n v="3392953"/>
    <s v="Operador de Plantas"/>
    <s v="EFIS"/>
    <s v="EFIS"/>
    <m/>
    <s v="Operador de Plantas"/>
    <s v="DU35865028"/>
    <s v="AR-NEUQUÉN"/>
    <s v="Energy Field Services"/>
    <x v="30"/>
    <s v="EFF-FP0908"/>
    <s v="254897"/>
    <s v="Carrasco Yohana Yanina Belen"/>
    <x v="40"/>
  </r>
  <r>
    <n v="3392955"/>
    <s v="Operador de Plantas"/>
    <s v="EFIS"/>
    <s v="EFIS"/>
    <m/>
    <s v="Operador de Plantas"/>
    <s v="DU16011236"/>
    <s v="AR-NEUQUÉN"/>
    <s v="Energy Field Services"/>
    <x v="30"/>
    <s v="EFF-FP0908"/>
    <s v="254774"/>
    <s v="Zapata Elias"/>
    <x v="40"/>
  </r>
  <r>
    <n v="3392956"/>
    <s v="Operador de Plantas"/>
    <s v="EFIS"/>
    <s v="EFIS"/>
    <m/>
    <s v="Operador de Plantas"/>
    <s v="DU92975913"/>
    <s v="AR-NEUQUÉN"/>
    <s v="Energy Field Services"/>
    <x v="30"/>
    <s v="EFF-FP0908"/>
    <s v="255184"/>
    <s v="Sandoval Chandia Ramon Rodrigo"/>
    <x v="40"/>
  </r>
  <r>
    <n v="3392957"/>
    <s v="Ingresante de Plantas"/>
    <s v="EFIS"/>
    <s v="EFIS"/>
    <m/>
    <s v="Ingresante de Plantas"/>
    <s v="DU46482269"/>
    <s v="AR-NEUQUÉN"/>
    <s v="Energy Field Services"/>
    <x v="30"/>
    <s v="EFF-FP0908"/>
    <s v="255205"/>
    <s v="Sanhueza Ramiro Exequiel"/>
    <x v="40"/>
  </r>
  <r>
    <n v="3392931"/>
    <s v="Operador Sr. de Plantas"/>
    <s v="EFIS"/>
    <s v="EFIS"/>
    <m/>
    <s v="Operador Sr. de Plantas"/>
    <s v="DU33673463"/>
    <s v="AR-NEUQUÉN"/>
    <s v="Energy Field Services"/>
    <x v="30"/>
    <s v="EFF-FP0906"/>
    <s v="255093"/>
    <s v="Oehmcke Dante Guillermo"/>
    <x v="38"/>
  </r>
  <r>
    <n v="3392959"/>
    <s v="Operador Especializado de Plantas"/>
    <s v="EFIS"/>
    <s v="EFIS"/>
    <m/>
    <s v="Operador Especializado de Plantas"/>
    <s v="DU21381155"/>
    <s v="AR-NEUQUÉN"/>
    <s v="Energy Field Services"/>
    <x v="30"/>
    <s v="EFF-FP0908"/>
    <s v="254896"/>
    <s v="Otarola Alfredo Gustavo"/>
    <x v="40"/>
  </r>
  <r>
    <n v="3406968"/>
    <s v="Operador Especializado de Plantas"/>
    <s v="EFIS"/>
    <s v="EFIS"/>
    <m/>
    <s v="Operador Especializado de Plantas"/>
    <s v="DU31157058"/>
    <s v="AR-NEUQUÉN"/>
    <s v="Energy Field Services"/>
    <x v="30"/>
    <s v="EFF-FP0907"/>
    <m/>
    <s v="Centeno Victor Emilio"/>
    <x v="16"/>
  </r>
  <r>
    <n v="3401243"/>
    <s v="Maintenance Sr. Supervisor"/>
    <s v="EFIS"/>
    <s v="EFIS"/>
    <m/>
    <s v="Maintenance Sr. Supervisor"/>
    <s v="DU36718136 "/>
    <s v="AR-NEUQUÉN"/>
    <s v="Energy Field Services"/>
    <x v="6"/>
    <s v="EFR-FN0910"/>
    <m/>
    <s v="Montefinale Federico Miguel"/>
    <x v="12"/>
  </r>
  <r>
    <n v="3392967"/>
    <s v="Operador Especializado de Plantas"/>
    <s v="EFIS"/>
    <s v="EFIS"/>
    <m/>
    <s v="Operador Especializado de Plantas"/>
    <s v="DU35753424"/>
    <s v="AR-NEUQUÉN"/>
    <s v="Energy Field Services"/>
    <x v="30"/>
    <s v="EFF-FP0907"/>
    <s v="255202"/>
    <s v="Della Paolera Sebastian"/>
    <x v="16"/>
  </r>
  <r>
    <n v="3406966"/>
    <s v="Operador Especializado de Plantas"/>
    <s v="EFIS"/>
    <s v="EFIS"/>
    <m/>
    <s v="Operador Especializado de Plantas"/>
    <s v="DU37697664"/>
    <s v="AR-NEUQUÉN"/>
    <s v="Energy Field Services"/>
    <x v="30"/>
    <s v="EFF-FP0907"/>
    <m/>
    <s v="Floridio Alana David"/>
    <x v="16"/>
  </r>
  <r>
    <n v="3392966"/>
    <s v="Operador Especializado de Plantas"/>
    <s v="EFIS"/>
    <s v="EFIS"/>
    <m/>
    <s v="Operador Especializado de Plantas"/>
    <s v="DU33291680"/>
    <s v="AR-NEUQUÉN"/>
    <s v="Energy Field Services"/>
    <x v="30"/>
    <s v="EFF-FP0907"/>
    <s v="255167"/>
    <s v="Garcia Pacek German Daniel"/>
    <x v="16"/>
  </r>
  <r>
    <n v="3406965"/>
    <s v="Operador Especializado de Plantas"/>
    <s v="EFIS"/>
    <s v="EFIS"/>
    <m/>
    <s v="Operador Especializado de Plantas"/>
    <s v="DU40067274"/>
    <s v="AR-NEUQUÉN"/>
    <s v="Energy Field Services"/>
    <x v="30"/>
    <s v="EFF-FP0907"/>
    <m/>
    <s v="Gutierrez Tomas Agustin"/>
    <x v="16"/>
  </r>
  <r>
    <n v="3406967"/>
    <s v="Operador Especializado de Plantas"/>
    <s v="EFIS"/>
    <s v="EFIS"/>
    <m/>
    <s v="Operador Especializado de Plantas"/>
    <s v="DU32710339"/>
    <s v="AR-NEUQUÉN"/>
    <s v="Energy Field Services"/>
    <x v="30"/>
    <s v="EFF-FP0907"/>
    <m/>
    <s v="Magliotto Pablo Andres"/>
    <x v="16"/>
  </r>
  <r>
    <n v="3392968"/>
    <s v="Operador Especializado de Plantas"/>
    <s v="EFIS"/>
    <s v="EFIS"/>
    <m/>
    <s v="Operador Especializado de Plantas"/>
    <s v="DU30264711"/>
    <s v="AR-NEUQUÉN"/>
    <s v="Energy Field Services"/>
    <x v="30"/>
    <s v="EFF-FP0907"/>
    <s v="255201"/>
    <s v="Montenegro Cesar Francisco"/>
    <x v="16"/>
  </r>
  <r>
    <n v="3392963"/>
    <s v="Operador Especializado de Plantas"/>
    <s v="EFIS"/>
    <s v="EFIS"/>
    <m/>
    <s v="Operador Especializado de Plantas"/>
    <s v="DU42518458"/>
    <s v="AR-NEUQUÉN"/>
    <s v="Energy Field Services"/>
    <x v="30"/>
    <s v="EFF-FP0907"/>
    <s v="254750"/>
    <s v="Querci Damian Agustin"/>
    <x v="16"/>
  </r>
  <r>
    <n v="3392964"/>
    <s v="Operador Especializado de Plantas"/>
    <s v="EFIS"/>
    <s v="EFIS"/>
    <m/>
    <s v="Operador Especializado de Plantas"/>
    <s v="DU22619156"/>
    <s v="AR-NEUQUÉN"/>
    <s v="Energy Field Services"/>
    <x v="30"/>
    <s v="EFF-FP0907"/>
    <n v="257354"/>
    <s v="Sepulveda Victor Francisco"/>
    <x v="16"/>
  </r>
  <r>
    <n v="3393046"/>
    <s v="Chofer"/>
    <s v="EFIS"/>
    <s v="EFIS"/>
    <m/>
    <s v="Chofer"/>
    <s v="DU25711715"/>
    <s v="AR-NEUQUÉN"/>
    <s v="Energy Field Services"/>
    <x v="30"/>
    <s v="EFF-FP0926"/>
    <s v="255027"/>
    <s v="Espinosa Nestor Victalo"/>
    <x v="41"/>
  </r>
  <r>
    <n v="3392971"/>
    <s v="Operador Especializado Semi Jr. Plantas"/>
    <s v="EFIS"/>
    <s v="EFIS"/>
    <m/>
    <s v="Operador Especializado Semi Jr. Plantas"/>
    <s v="DU39381423"/>
    <s v="AR-NEUQUÉN"/>
    <s v="Energy Field Services"/>
    <x v="30"/>
    <s v="EFF-FP0909"/>
    <m/>
    <s v="Encina Lucas Maximiliano"/>
    <x v="42"/>
  </r>
  <r>
    <n v="3392972"/>
    <s v="Operador Especializado de Plantas"/>
    <s v="EFIS"/>
    <s v="EFIS"/>
    <m/>
    <s v="Operador Especializado de Plantas"/>
    <s v="DU38493607"/>
    <s v="AR-NEUQUÉN"/>
    <s v="Energy Field Services"/>
    <x v="30"/>
    <s v="EFF-FP0909"/>
    <m/>
    <s v="Montesino Matias Eleazar"/>
    <x v="42"/>
  </r>
  <r>
    <n v="3392973"/>
    <s v="Operador Especializado de Plantas"/>
    <s v="EFIS"/>
    <s v="EFIS"/>
    <m/>
    <s v="Operador Especializado de Plantas"/>
    <s v="DU30588270"/>
    <s v="AR-NEUQUÉN"/>
    <s v="Energy Field Services"/>
    <x v="30"/>
    <s v="EFF-FP0909"/>
    <n v="259811"/>
    <s v="Valenzuela Juan Carlos David"/>
    <x v="42"/>
  </r>
  <r>
    <n v="3392974"/>
    <s v="Chofer Transporte Personal (14+1)"/>
    <s v="EFIS"/>
    <s v="EFIS"/>
    <m/>
    <s v="Chofer Transporte Personal (14+1)"/>
    <s v="DU22379296"/>
    <s v="AR-NEUQUÉN"/>
    <s v="Energy Field Services"/>
    <x v="30"/>
    <s v="EFF-FP0943"/>
    <s v="255025"/>
    <s v="Roga Hector Leandro"/>
    <x v="43"/>
  </r>
  <r>
    <n v="3392975"/>
    <s v="Chofer Especializado Transporte Personal"/>
    <s v="EFIS"/>
    <s v="EFIS"/>
    <m/>
    <s v="Chofer Especializado Transporte Personal"/>
    <s v="DU31788379"/>
    <s v="AR-NEUQUÉN"/>
    <s v="Energy Field Services"/>
    <x v="30"/>
    <s v="EFF-FP0943"/>
    <s v="255085"/>
    <s v="Zapata Cecilia Liliana"/>
    <x v="43"/>
  </r>
  <r>
    <n v="3392976"/>
    <s v="Ingresante de Oficios"/>
    <s v="EFIS"/>
    <s v="EFIS"/>
    <m/>
    <s v="Ingresante de Oficios"/>
    <s v="DU40067838"/>
    <s v="AR-NEUQUÉN"/>
    <s v="Energy Field Services"/>
    <x v="36"/>
    <s v="EFF-FN1003"/>
    <s v="261780"/>
    <s v="Tapia Facundo Emmanuel"/>
    <x v="44"/>
  </r>
  <r>
    <n v="3392977"/>
    <s v="Oficial de Oficios"/>
    <s v="EFIS"/>
    <s v="EFIS"/>
    <m/>
    <s v="Oficial de Oficios"/>
    <s v="DU28075950"/>
    <s v="AR-NEUQUÉN"/>
    <s v="Energy Field Services"/>
    <x v="36"/>
    <s v="EFF-FP0944"/>
    <s v="255196"/>
    <s v="Lopez Jonatan Martin"/>
    <x v="18"/>
  </r>
  <r>
    <n v="3392978"/>
    <s v="Oficial de Oficios"/>
    <s v="EFIS"/>
    <s v="EFIS"/>
    <m/>
    <s v="Oficial de Oficios"/>
    <s v="DU40443478"/>
    <s v="AR-NEUQUÉN"/>
    <s v="Energy Field Services"/>
    <x v="36"/>
    <s v="EFF-FP0944"/>
    <n v="259467"/>
    <s v="Garcia Hector Francisco"/>
    <x v="18"/>
  </r>
  <r>
    <n v="3392979"/>
    <s v="Oficial de Oficios"/>
    <s v="EFIS"/>
    <s v="EFIS"/>
    <m/>
    <s v="Oficial de Oficios"/>
    <s v="DU40707368"/>
    <s v="AR-NEUQUÉN"/>
    <s v="Energy Field Services"/>
    <x v="36"/>
    <s v="EFF-FP0944"/>
    <n v="260263"/>
    <s v="Quesada Facundo Ezequiel"/>
    <x v="18"/>
  </r>
  <r>
    <n v="3392980"/>
    <s v="Recorredor Especializado"/>
    <s v="EFIS"/>
    <s v="EFIS"/>
    <m/>
    <s v="Recorredor Especializado"/>
    <s v="DU35834918"/>
    <s v="AR-NEUQUÉN"/>
    <s v="Energy Field Services"/>
    <x v="30"/>
    <s v="EFF-FP0901"/>
    <s v="255030"/>
    <s v="Salazar Denis Alejandro"/>
    <x v="45"/>
  </r>
  <r>
    <n v="3392981"/>
    <s v="Recorredor Especializado"/>
    <s v="EFIS"/>
    <s v="EFIS"/>
    <m/>
    <s v="Recorredor Especializado"/>
    <s v="DU25089979"/>
    <s v="AR-NEUQUÉN"/>
    <s v="Energy Field Services"/>
    <x v="30"/>
    <s v="EFF-FP0901"/>
    <s v="254979"/>
    <s v="Castro Marcos Aurelio"/>
    <x v="45"/>
  </r>
  <r>
    <n v="3392983"/>
    <s v="Recorredor Especializado"/>
    <s v="EFIS"/>
    <s v="EFIS"/>
    <m/>
    <s v="Recorredor Especializado"/>
    <s v="DU29682585"/>
    <s v="AR-NEUQUÉN"/>
    <s v="Energy Field Services"/>
    <x v="30"/>
    <s v="EFF-FP0901"/>
    <s v="254779"/>
    <s v="Fonseca Lucas Ivan"/>
    <x v="45"/>
  </r>
  <r>
    <n v="3392984"/>
    <s v="Recorredor Especializado"/>
    <s v="EFIS"/>
    <s v="EFIS"/>
    <m/>
    <s v="Recorredor Especializado"/>
    <s v="DU37856716"/>
    <s v="AR-NEUQUÉN"/>
    <s v="Energy Field Services"/>
    <x v="30"/>
    <s v="EFF-FP0901"/>
    <s v="254994"/>
    <s v="Quiñiñiri Sebastian Alejandro"/>
    <x v="45"/>
  </r>
  <r>
    <n v="3392985"/>
    <s v="Recorredor Especializado"/>
    <s v="EFIS"/>
    <s v="EFIS"/>
    <m/>
    <s v="Recorredor Especializado"/>
    <s v="DU40960566"/>
    <s v="AR-NEUQUÉN"/>
    <s v="Energy Field Services"/>
    <x v="30"/>
    <s v="EFF-FP0901"/>
    <s v="254770"/>
    <s v="Parada Ariel Gaspar"/>
    <x v="45"/>
  </r>
  <r>
    <n v="3392986"/>
    <s v="Recorredor Especializado"/>
    <s v="EFIS"/>
    <s v="EFIS"/>
    <m/>
    <s v="Recorredor Especializado"/>
    <s v="DU29429989"/>
    <s v="AR-NEUQUÉN"/>
    <s v="Energy Field Services"/>
    <x v="30"/>
    <s v="EFF-FP0901"/>
    <s v="255003"/>
    <s v="Garce Mauro Xavier"/>
    <x v="45"/>
  </r>
  <r>
    <n v="3392987"/>
    <s v="Recorredor Especializado"/>
    <s v="EFIS"/>
    <s v="EFIS"/>
    <m/>
    <s v="Recorredor Especializado"/>
    <s v="DU23718238"/>
    <s v="AR-NEUQUÉN"/>
    <s v="Energy Field Services"/>
    <x v="30"/>
    <s v="EFF-FP0901"/>
    <s v="255112"/>
    <s v="Astorga Sergio Edgardo"/>
    <x v="45"/>
  </r>
  <r>
    <n v="3392988"/>
    <s v="Recorredor Especializado"/>
    <s v="EFIS"/>
    <s v="EFIS"/>
    <m/>
    <s v="Recorredor Especializado"/>
    <s v="DU31755425"/>
    <s v="AR-NEUQUÉN"/>
    <s v="Energy Field Services"/>
    <x v="30"/>
    <s v="EFF-FP0901"/>
    <s v="254957"/>
    <s v="Hernandez Ramon Horacio"/>
    <x v="45"/>
  </r>
  <r>
    <n v="3392989"/>
    <s v="Recorredor Especializado"/>
    <s v="EFIS"/>
    <s v="EFIS"/>
    <m/>
    <s v="Recorredor Especializado"/>
    <s v="DU35834683"/>
    <s v="AR-NEUQUÉN"/>
    <s v="Energy Field Services"/>
    <x v="30"/>
    <s v="EFF-FP0901"/>
    <s v="255105"/>
    <s v="Mendez Milton Gabriel"/>
    <x v="45"/>
  </r>
  <r>
    <n v="3392990"/>
    <s v="Recorredor Especializado"/>
    <s v="EFIS"/>
    <s v="EFIS"/>
    <m/>
    <s v="Recorredor Especializado"/>
    <s v="DU31530001"/>
    <s v="AR-NEUQUÉN"/>
    <s v="Energy Field Services"/>
    <x v="30"/>
    <s v="EFF-FP0901"/>
    <s v="255108"/>
    <s v="Herrera Sergio Mauricio"/>
    <x v="45"/>
  </r>
  <r>
    <n v="3392991"/>
    <s v="Recorredor"/>
    <s v="EFIS"/>
    <s v="EFIS"/>
    <m/>
    <s v="Recorredor"/>
    <s v="DU44311211"/>
    <s v="AR-NEUQUÉN"/>
    <s v="Energy Field Services"/>
    <x v="30"/>
    <s v="EFF-FP0901"/>
    <s v="254782"/>
    <s v="Bunajul Emiliano Miguel"/>
    <x v="45"/>
  </r>
  <r>
    <n v="3392992"/>
    <s v="Recorredor Especializado"/>
    <s v="EFIS"/>
    <s v="EFIS"/>
    <m/>
    <s v="Recorredor Especializado"/>
    <s v="DU32909263"/>
    <s v="AR-NEUQUÉN"/>
    <s v="Energy Field Services"/>
    <x v="30"/>
    <s v="EFF-FP0901"/>
    <s v="255160"/>
    <s v="Gutierrez Oscar Javier"/>
    <x v="45"/>
  </r>
  <r>
    <n v="3392993"/>
    <s v="Recorredor Especializado"/>
    <s v="EFIS"/>
    <s v="EFIS"/>
    <m/>
    <s v="Recorredor Especializado"/>
    <s v="DU23214468"/>
    <s v="AR-NEUQUÉN"/>
    <s v="Energy Field Services"/>
    <x v="30"/>
    <s v="EFF-FP0901"/>
    <s v="254773"/>
    <s v="Abarzua Mario Hernan"/>
    <x v="45"/>
  </r>
  <r>
    <n v="3392994"/>
    <s v="Recorredor Especializado"/>
    <s v="EFIS"/>
    <s v="EFIS"/>
    <m/>
    <s v="Recorredor Especializado"/>
    <s v="DU24131600"/>
    <s v="AR-NEUQUÉN"/>
    <s v="Energy Field Services"/>
    <x v="30"/>
    <s v="EFF-FP0901"/>
    <s v="255119"/>
    <s v="Ortega Ignacio Jose"/>
    <x v="45"/>
  </r>
  <r>
    <n v="3392995"/>
    <s v="Recorredor Especializado"/>
    <s v="EFIS"/>
    <s v="EFIS"/>
    <m/>
    <s v="Recorredor Especializado"/>
    <s v="DU36192389"/>
    <s v="AR-NEUQUÉN"/>
    <s v="Energy Field Services"/>
    <x v="30"/>
    <s v="EFF-FP0901"/>
    <s v="255200"/>
    <s v="Donnini Julio Samuel"/>
    <x v="45"/>
  </r>
  <r>
    <n v="3392996"/>
    <s v="Recorredor"/>
    <s v="EFIS"/>
    <s v="EFIS"/>
    <m/>
    <s v="Recorredor"/>
    <s v="DU33302253"/>
    <s v="AR-NEUQUÉN"/>
    <s v="Energy Field Services"/>
    <x v="30"/>
    <s v="EFF-FP0901"/>
    <s v="254778"/>
    <s v="Rivero Daniel Alexis"/>
    <x v="45"/>
  </r>
  <r>
    <n v="3392997"/>
    <s v="Ayudante de Recorredor"/>
    <s v="EFIS"/>
    <s v="EFIS"/>
    <m/>
    <s v="Ayudante de Recorredor"/>
    <s v="DU93793325"/>
    <s v="AR-NEUQUÉN"/>
    <s v="Energy Field Services"/>
    <x v="30"/>
    <s v="EFF-FP0901"/>
    <s v="255176"/>
    <s v="Gonzalez Perez Andy Paolo"/>
    <x v="45"/>
  </r>
  <r>
    <n v="3392998"/>
    <s v="Operador Especializado Semi Jr. Plantas"/>
    <s v="EFIS"/>
    <s v="EFIS"/>
    <m/>
    <s v="Operador Especializado Semi Jr. Plantas"/>
    <s v="DU34734137"/>
    <s v="AR-NEUQUÉN"/>
    <s v="Energy Field Services"/>
    <x v="37"/>
    <s v="EFF-FP0903"/>
    <s v="255082"/>
    <s v="Gallas Fernando Ezequiel"/>
    <x v="46"/>
  </r>
  <r>
    <n v="3392999"/>
    <s v="Operador Especializado Semi Jr. Plantas"/>
    <s v="EFIS"/>
    <s v="EFIS"/>
    <m/>
    <s v="Operador Especializado Semi Jr. Plantas"/>
    <s v="DU33478674"/>
    <s v="AR-NEUQUÉN"/>
    <s v="Energy Field Services"/>
    <x v="37"/>
    <s v="EFF-FP0903"/>
    <s v="254989"/>
    <s v="Pineda Jorge Oscar"/>
    <x v="46"/>
  </r>
  <r>
    <n v="3393000"/>
    <s v="Operador Especializado Semi Jr. Plantas"/>
    <s v="EFIS"/>
    <s v="EFIS"/>
    <m/>
    <s v="Operador Especializado Semi Jr. Plantas"/>
    <s v="DU28621033"/>
    <s v="AR-NEUQUÉN"/>
    <s v="Energy Field Services"/>
    <x v="37"/>
    <s v="EFF-FP0903"/>
    <s v="255106"/>
    <s v="Gonzalez Jorge Omar"/>
    <x v="46"/>
  </r>
  <r>
    <n v="3393001"/>
    <s v="Operador Especializado Semi Jr. Plantas"/>
    <s v="EFIS"/>
    <s v="EFIS"/>
    <m/>
    <s v="Operador Especializado Semi Jr. Plantas"/>
    <s v="DU35037940"/>
    <s v="AR-NEUQUÉN"/>
    <s v="Energy Field Services"/>
    <x v="37"/>
    <s v="EFF-FP0903"/>
    <s v="255088"/>
    <s v="Sandoval Marcos Alexis Aryon"/>
    <x v="46"/>
  </r>
  <r>
    <n v="3393002"/>
    <s v="Operador Especializado Semi Jr. Plantas"/>
    <s v="EFIS"/>
    <s v="EFIS"/>
    <m/>
    <s v="Operador Especializado Semi Jr. Plantas"/>
    <s v="DU38149619"/>
    <s v="AR-NEUQUÉN"/>
    <s v="Energy Field Services"/>
    <x v="37"/>
    <s v="EFF-FP0903"/>
    <s v="254895"/>
    <s v="Candia Matias Emanuel"/>
    <x v="46"/>
  </r>
  <r>
    <n v="3393003"/>
    <s v="Operador Especializado de Well Testing"/>
    <s v="EFIS"/>
    <s v="EFIS"/>
    <m/>
    <s v="Operador Especializado de Well Testing"/>
    <s v="DU31000303"/>
    <s v="AR-NEUQUÉN"/>
    <s v="Energy Field Services"/>
    <x v="37"/>
    <s v="EFF-FP0902"/>
    <s v="255250"/>
    <s v="Rosales Nelson David"/>
    <x v="47"/>
  </r>
  <r>
    <n v="3393004"/>
    <s v="Operador Especializado de Well Testing"/>
    <s v="EFIS"/>
    <s v="EFIS"/>
    <m/>
    <s v="Operador Especializado de Well Testing"/>
    <s v="DU31086174"/>
    <s v="AR-NEUQUÉN"/>
    <s v="Energy Field Services"/>
    <x v="37"/>
    <s v="EFF-FP0902"/>
    <s v="255817"/>
    <s v="Losso Andres Francisco"/>
    <x v="47"/>
  </r>
  <r>
    <n v="3393005"/>
    <s v="Operador Especializado de Well Testing"/>
    <s v="EFIS"/>
    <s v="EFIS"/>
    <m/>
    <s v="Operador Especializado de Well Testing"/>
    <s v="DU33615416"/>
    <s v="AR-NEUQUÉN"/>
    <s v="Energy Field Services"/>
    <x v="37"/>
    <s v="EFF-FP0902"/>
    <s v="255261"/>
    <s v="Mora Jonatan Daniel"/>
    <x v="47"/>
  </r>
  <r>
    <n v="3393006"/>
    <s v="Operador Especializado de Well Testing"/>
    <s v="EFIS"/>
    <s v="EFIS"/>
    <m/>
    <s v="Operador Especializado de Well Testing"/>
    <s v="DU18861854"/>
    <s v="AR-NEUQUÉN"/>
    <s v="Energy Field Services"/>
    <x v="37"/>
    <s v="EFF-FP0902"/>
    <s v="255189"/>
    <s v="Correa Cardenas Gustavo Rodolfo"/>
    <x v="47"/>
  </r>
  <r>
    <n v="3393007"/>
    <s v="Chofer Operador"/>
    <s v="EFIS"/>
    <s v="EFIS"/>
    <m/>
    <s v="Chofer Operador"/>
    <s v="DU22440673"/>
    <s v="AR-NEUQUÉN"/>
    <s v="Energy Field Services"/>
    <x v="37"/>
    <s v="EFF-FP0902"/>
    <s v="255156"/>
    <s v="Berra Juan Alberto"/>
    <x v="47"/>
  </r>
  <r>
    <n v="3393008"/>
    <s v="Chofer Operador"/>
    <s v="EFIS"/>
    <s v="EFIS"/>
    <m/>
    <s v="Chofer Operador"/>
    <s v="DU28445476"/>
    <s v="AR-NEUQUÉN"/>
    <s v="Energy Field Services"/>
    <x v="37"/>
    <s v="EFF-FP0902"/>
    <s v="255130"/>
    <s v="Vasquez Roberto Ariel"/>
    <x v="47"/>
  </r>
  <r>
    <n v="3393009"/>
    <s v="Recorredor"/>
    <s v="EFIS"/>
    <s v="EFIS"/>
    <m/>
    <s v="Recorredor"/>
    <s v="DU33792814"/>
    <s v="AR-NEUQUÉN"/>
    <s v="Energy Field Services"/>
    <x v="37"/>
    <s v="EFF-FP0902"/>
    <s v="255164"/>
    <s v="Fuentes Lopez Gaston Emiliano"/>
    <x v="47"/>
  </r>
  <r>
    <n v="3393010"/>
    <s v="Oficial Especializado de Oficios"/>
    <s v="EFIS"/>
    <s v="EFIS"/>
    <m/>
    <s v="Oficial Especializado de Oficios"/>
    <s v="DU33754698"/>
    <s v="AR-NEUQUÉN"/>
    <s v="Energy Field Services"/>
    <x v="5"/>
    <s v="EFF-FP0923"/>
    <s v="254998"/>
    <s v="Quiroga Pedro Pablo"/>
    <x v="48"/>
  </r>
  <r>
    <n v="3393011"/>
    <s v="Oficial Especializado de Oficios"/>
    <s v="EFIS"/>
    <s v="EFIS"/>
    <m/>
    <s v="Oficial Especializado de Oficios"/>
    <m/>
    <s v="AR-NEUQUÉN"/>
    <s v="Energy Field Services"/>
    <x v="5"/>
    <s v="EFF-FP0923"/>
    <s v="254889"/>
    <s v="Vacante instru FDP (Opt)"/>
    <x v="48"/>
  </r>
  <r>
    <n v="3392982"/>
    <s v="Recorredor Especializado"/>
    <s v="EFIS"/>
    <s v="EFIS"/>
    <m/>
    <s v="Recorredor Especializado"/>
    <s v="DU32020422"/>
    <s v="AR-NEUQUÉN"/>
    <s v="Energy Field Services"/>
    <x v="30"/>
    <s v="EFF-FP0901"/>
    <s v="254993"/>
    <s v="Fuentes Roberto Alejandro"/>
    <x v="45"/>
  </r>
  <r>
    <n v="3393012"/>
    <s v="Oficial de Oficios"/>
    <s v="EFIS"/>
    <s v="EFIS"/>
    <m/>
    <s v="Oficial de Oficios"/>
    <s v="DU41858833"/>
    <s v="AR-NEUQUÉN"/>
    <s v="Energy Field Services"/>
    <x v="5"/>
    <s v="EFF-FP0923"/>
    <s v="254959"/>
    <s v="Montecinos Guzman Elias Daniel"/>
    <x v="48"/>
  </r>
  <r>
    <n v="3393014"/>
    <s v="Oficial Especializado de Oficios"/>
    <s v="EFIS"/>
    <s v="EFIS"/>
    <m/>
    <s v="Oficial Especializado de Oficios"/>
    <m/>
    <s v="AR-NEUQUÉN"/>
    <s v="Energy Field Services"/>
    <x v="5"/>
    <s v="EFF-FP0923"/>
    <s v="255199"/>
    <s v="Vacante instru FDP (Opt)"/>
    <x v="48"/>
  </r>
  <r>
    <n v="3393015"/>
    <s v="Oficial de Oficios"/>
    <s v="EFIS"/>
    <s v="EFIS"/>
    <m/>
    <s v="Oficial de Oficios"/>
    <s v="DU43215690"/>
    <s v="AR-NEUQUÉN"/>
    <s v="Energy Field Services"/>
    <x v="5"/>
    <s v="EFF-FP0923"/>
    <s v="255198"/>
    <s v="Van Laten Facundo Nicolas"/>
    <x v="48"/>
  </r>
  <r>
    <n v="3393016"/>
    <s v="Oficial Especializado de Oficios"/>
    <s v="EFIS"/>
    <s v="EFIS"/>
    <m/>
    <s v="Oficial Especializado de Oficios"/>
    <m/>
    <s v="AR-NEUQUÉN"/>
    <s v="Energy Field Services"/>
    <x v="5"/>
    <s v="EFF-FP0923"/>
    <s v="254969"/>
    <s v="Vacante instru FDP (Opt)"/>
    <x v="48"/>
  </r>
  <r>
    <n v="3393017"/>
    <s v="Oficial de Oficios"/>
    <s v="EFIS"/>
    <s v="EFIS"/>
    <m/>
    <s v="Oficial de Oficios"/>
    <s v="DU45375842"/>
    <s v="AR-NEUQUÉN"/>
    <s v="Energy Field Services"/>
    <x v="5"/>
    <s v="EFF-FP0923"/>
    <s v="254865"/>
    <s v="Gonzalez Guerrero Franco Nicolas"/>
    <x v="48"/>
  </r>
  <r>
    <n v="3393018"/>
    <s v="Oficial de Oficios"/>
    <s v="EFIS"/>
    <s v="EFIS"/>
    <m/>
    <s v="Oficial de Oficios"/>
    <s v="DU39682377"/>
    <s v="AR-NEUQUÉN"/>
    <s v="Energy Field Services"/>
    <x v="5"/>
    <s v="EFF-FP0923"/>
    <m/>
    <s v="Rodriguez Oscar"/>
    <x v="48"/>
  </r>
  <r>
    <n v="3393019"/>
    <s v="Oficial Especializado de Oficios"/>
    <s v="EFIS"/>
    <s v="EFIS"/>
    <m/>
    <s v="Oficial Especializado de Oficios"/>
    <s v="DU28180483"/>
    <s v="AR-NEUQUÉN"/>
    <s v="Energy Field Services"/>
    <x v="5"/>
    <s v="EFF-FP0922"/>
    <s v="255146"/>
    <s v="Arin Raul Alberto"/>
    <x v="49"/>
  </r>
  <r>
    <n v="3393020"/>
    <s v="Oficial Especializado de Oficios"/>
    <s v="EFIS"/>
    <s v="EFIS"/>
    <m/>
    <s v="Oficial Especializado de Oficios"/>
    <s v="DU39950326"/>
    <s v="AR-NEUQUÉN"/>
    <s v="Energy Field Services"/>
    <x v="5"/>
    <s v="EFF-FP0922"/>
    <s v="255147"/>
    <s v="Rodriguez Matias Walter"/>
    <x v="49"/>
  </r>
  <r>
    <n v="3393021"/>
    <s v="Oficial Especializado de Oficios"/>
    <s v="EFIS"/>
    <s v="EFIS"/>
    <m/>
    <s v="Oficial Especializado de Oficios"/>
    <s v="DU41977742"/>
    <s v="AR-NEUQUÉN"/>
    <s v="Energy Field Services"/>
    <x v="5"/>
    <s v="EFF-FP0922"/>
    <s v="254886"/>
    <s v="Pena Daira Yamel"/>
    <x v="49"/>
  </r>
  <r>
    <n v="3393022"/>
    <s v="Oficial de Oficios"/>
    <s v="EFIS"/>
    <s v="EFIS"/>
    <m/>
    <s v="Oficial de Oficios"/>
    <s v="DU33660770"/>
    <s v="AR-NEUQUÉN"/>
    <s v="Energy Field Services"/>
    <x v="5"/>
    <s v="EFF-FP0922"/>
    <s v="254802"/>
    <s v="Meza Edgardo Joaquin"/>
    <x v="49"/>
  </r>
  <r>
    <n v="3393024"/>
    <s v="Oficial Especializado de Oficios"/>
    <s v="EFIS"/>
    <s v="EFIS"/>
    <m/>
    <s v="Oficial Especializado de Oficios"/>
    <m/>
    <s v="AR-NEUQUÉN"/>
    <s v="Energy Field Services"/>
    <x v="5"/>
    <s v="EFF-FP0921"/>
    <s v="254846"/>
    <s v="Vacante mec FDP (Opt)"/>
    <x v="4"/>
  </r>
  <r>
    <n v="3393025"/>
    <s v="Oficial de Oficios"/>
    <s v="EFIS"/>
    <s v="EFIS"/>
    <m/>
    <s v="Oficial de Oficios"/>
    <m/>
    <s v="AR-NEUQUÉN"/>
    <s v="Energy Field Services"/>
    <x v="5"/>
    <s v="EFF-FP0921"/>
    <s v="255140"/>
    <s v="Vacante mec FDP (Opt)"/>
    <x v="4"/>
  </r>
  <r>
    <n v="3393026"/>
    <s v="Oficial Especializado de Oficios"/>
    <s v="EFIS"/>
    <s v="EFIS"/>
    <m/>
    <s v="Oficial Especializado de Oficios"/>
    <s v="DU35312703"/>
    <s v="AR-NEUQUÉN"/>
    <s v="Energy Field Services"/>
    <x v="5"/>
    <s v="EFF-FP0921"/>
    <s v="254885"/>
    <s v="Lopez Ezequiel Sebastian"/>
    <x v="4"/>
  </r>
  <r>
    <n v="3393027"/>
    <s v="Oficial de Oficios"/>
    <s v="EFIS"/>
    <s v="EFIS"/>
    <m/>
    <s v="Oficial de Oficios"/>
    <m/>
    <s v="AR-NEUQUÉN"/>
    <s v="Energy Field Services"/>
    <x v="5"/>
    <s v="EFF-FP0921"/>
    <s v="255197"/>
    <s v="Vacante mec FDP (Opt)"/>
    <x v="4"/>
  </r>
  <r>
    <n v="3393028"/>
    <s v="Oficial de Oficios"/>
    <s v="EFIS"/>
    <s v="EFIS"/>
    <m/>
    <s v="Oficial de Oficios"/>
    <s v="DU39266237"/>
    <s v="AR-NEUQUÉN"/>
    <s v="Energy Field Services"/>
    <x v="5"/>
    <s v="EFF-FP0921"/>
    <s v="254825"/>
    <s v="Chanqueo Guillermo Lautaro"/>
    <x v="4"/>
  </r>
  <r>
    <n v="3393029"/>
    <s v="Oficial Especializado de Oficios"/>
    <s v="EFIS"/>
    <s v="EFIS"/>
    <m/>
    <s v="Oficial Especializado de Oficios"/>
    <m/>
    <s v="AR-NEUQUÉN"/>
    <s v="Energy Field Services"/>
    <x v="5"/>
    <s v="EFF-FP0921"/>
    <s v="255191"/>
    <s v="Vacante mec FDP (Opt)"/>
    <x v="4"/>
  </r>
  <r>
    <n v="3393030"/>
    <s v="Oficial Especializado de Oficios"/>
    <s v="EFIS"/>
    <s v="EFIS"/>
    <m/>
    <s v="Oficial Especializado de Oficios"/>
    <s v="DU39354578"/>
    <s v="AR-NEUQUÉN"/>
    <s v="Energy Field Services"/>
    <x v="5"/>
    <s v="EFF-FP0921"/>
    <s v="255122"/>
    <s v="Muñoz Gustavo Alberto"/>
    <x v="4"/>
  </r>
  <r>
    <n v="3393031"/>
    <s v="Oficial de Oficios"/>
    <s v="EFIS"/>
    <s v="EFIS"/>
    <m/>
    <s v="Oficial de Oficios"/>
    <s v="DU38536083"/>
    <s v="AR-NEUQUÉN"/>
    <s v="Energy Field Services"/>
    <x v="5"/>
    <s v="EFF-FP0921"/>
    <s v="255131"/>
    <s v="Sanchez Alcaraz Rodrigo Ezequiel"/>
    <x v="4"/>
  </r>
  <r>
    <n v="3393033"/>
    <s v="Operador Principal de Cuadrilla"/>
    <s v="EFIS"/>
    <s v="EFIS"/>
    <m/>
    <s v="Operador Principal de Cuadrilla"/>
    <s v="DU26909367"/>
    <s v="AR-NEUQUÉN"/>
    <s v="Energy Field Services"/>
    <x v="5"/>
    <s v="EFF-FP0921"/>
    <s v="254832"/>
    <s v="Nava Eduardo David"/>
    <x v="4"/>
  </r>
  <r>
    <n v="3393034"/>
    <s v="Operador Principal de Cuadrilla"/>
    <s v="EFIS"/>
    <s v="EFIS"/>
    <m/>
    <s v="Operador Principal de Cuadrilla"/>
    <s v="DU24131430"/>
    <s v="AR-NEUQUÉN"/>
    <s v="Energy Field Services"/>
    <x v="5"/>
    <s v="EFF-FP0925"/>
    <s v="254878"/>
    <s v="Cariñe Juan Marcelo"/>
    <x v="30"/>
  </r>
  <r>
    <n v="3393035"/>
    <s v="Oficial Especializado de Oficios"/>
    <s v="EFIS"/>
    <s v="EFIS"/>
    <m/>
    <s v="Oficial Especializado de Oficios"/>
    <s v="DU29682509"/>
    <s v="AR-NEUQUÉN"/>
    <s v="Energy Field Services"/>
    <x v="5"/>
    <s v="EFF-FP0925"/>
    <s v="255077"/>
    <s v="Zapata Damian Gilberto"/>
    <x v="30"/>
  </r>
  <r>
    <n v="3393036"/>
    <s v="Oficial de Oficios"/>
    <s v="EFIS"/>
    <s v="EFIS"/>
    <m/>
    <s v="Oficial de Oficios"/>
    <s v="DU34780573"/>
    <s v="AR-NEUQUÉN"/>
    <s v="Energy Field Services"/>
    <x v="5"/>
    <s v="EFF-FP0925"/>
    <s v="255219"/>
    <s v="Heredia Rogelio Walter Jesus"/>
    <x v="30"/>
  </r>
  <r>
    <n v="3393037"/>
    <s v="Operador Principal de Cuadrilla"/>
    <s v="EFIS"/>
    <s v="EFIS"/>
    <m/>
    <s v="Operador Principal de Cuadrilla"/>
    <s v="DU23346642"/>
    <s v="AR-NEUQUÉN"/>
    <s v="Energy Field Services"/>
    <x v="5"/>
    <s v="EFF-FP0925"/>
    <s v="237895"/>
    <s v="Almonacid Saul Rodrigo"/>
    <x v="30"/>
  </r>
  <r>
    <n v="3393038"/>
    <s v="Oficial Especializado de Oficios"/>
    <s v="EFIS"/>
    <s v="EFIS"/>
    <m/>
    <s v="Oficial Especializado de Oficios"/>
    <s v="DU37603343"/>
    <s v="AR-NEUQUÉN"/>
    <s v="Energy Field Services"/>
    <x v="5"/>
    <s v="EFF-FP0925"/>
    <s v="255144"/>
    <s v="Almonacid Edgar Eliel"/>
    <x v="30"/>
  </r>
  <r>
    <n v="3393039"/>
    <s v="Oficial de Oficios"/>
    <s v="EFIS"/>
    <s v="EFIS"/>
    <m/>
    <s v="Oficial de Oficios"/>
    <s v="DU27367750"/>
    <s v="AR-NEUQUÉN"/>
    <s v="Energy Field Services"/>
    <x v="5"/>
    <s v="EFF-FP0925"/>
    <s v="254956"/>
    <s v="Huenupi Cristian Fabian"/>
    <x v="30"/>
  </r>
  <r>
    <n v="3393040"/>
    <s v="Oficial Especializado de Oficios"/>
    <s v="EFIS"/>
    <s v="EFIS"/>
    <m/>
    <s v="Oficial Especializado de Oficios"/>
    <s v="DU39584586"/>
    <s v="AR-NEUQUÉN"/>
    <s v="Energy Field Services"/>
    <x v="5"/>
    <s v="EFF-FP0924"/>
    <s v="254894"/>
    <s v="Inostroza Enzo Alex"/>
    <x v="50"/>
  </r>
  <r>
    <n v="3393041"/>
    <s v="Oficial Especializado de Oficios"/>
    <s v="EFIS"/>
    <s v="EFIS"/>
    <m/>
    <s v="Oficial Especializado de Oficios"/>
    <m/>
    <s v="AR-NEUQUÉN"/>
    <s v="Energy Field Services"/>
    <x v="5"/>
    <s v="EFF-FP0924"/>
    <m/>
    <s v="Vacante compresión FDP "/>
    <x v="50"/>
  </r>
  <r>
    <n v="3393042"/>
    <s v="Oficial Especializado de Oficios"/>
    <s v="EFIS"/>
    <s v="EFIS"/>
    <m/>
    <s v="Oficial Especializado de Oficios"/>
    <s v="DU35571160"/>
    <s v="AR-NEUQUÉN"/>
    <s v="Energy Field Services"/>
    <x v="5"/>
    <s v="EFF-FP0924"/>
    <n v="255269"/>
    <s v="Zeni Matias Jesus"/>
    <x v="50"/>
  </r>
  <r>
    <n v="3393043"/>
    <s v="Oficial Especializado de Oficios"/>
    <s v="EFIS"/>
    <s v="EFIS"/>
    <m/>
    <s v="Oficial Especializado de Oficios"/>
    <s v="DU50866767"/>
    <s v="AR-NEUQUÉN"/>
    <s v="Energy Field Services"/>
    <x v="5"/>
    <s v="EFF-FP0924"/>
    <s v="254799"/>
    <s v="Soleto Julio Cesar"/>
    <x v="50"/>
  </r>
  <r>
    <n v="3393044"/>
    <s v="Oficial de Oficios"/>
    <s v="EFIS"/>
    <s v="EFIS"/>
    <m/>
    <s v="Oficial de Oficios"/>
    <s v="DU42165738"/>
    <s v="AR-NEUQUÉN"/>
    <s v="Energy Field Services"/>
    <x v="5"/>
    <s v="EFF-FP0924"/>
    <s v="255204"/>
    <s v="Sandoval Fernando"/>
    <x v="50"/>
  </r>
  <r>
    <n v="3393045"/>
    <s v="Medio Oficial Sr. de Oficios"/>
    <s v="EFIS"/>
    <s v="EFIS"/>
    <m/>
    <s v="Medio Oficial Sr. de Oficios"/>
    <s v="DU26105637"/>
    <s v="AR-NEUQUÉN"/>
    <s v="Energy Field Services"/>
    <x v="5"/>
    <s v="EFF-FP0926"/>
    <s v="255001"/>
    <s v="Flores Jose Luis"/>
    <x v="41"/>
  </r>
  <r>
    <n v="3393054"/>
    <s v="Ayudante Jr. de Oficios"/>
    <s v="EFIS"/>
    <s v="EFIS"/>
    <m/>
    <s v="Ayudante Jr. de Oficios"/>
    <s v="DU30072541"/>
    <s v="AR-NEUQUÉN"/>
    <s v="Energy Field Services"/>
    <x v="5"/>
    <s v="EFF-FP0928"/>
    <s v="255283"/>
    <s v="Perez Juan Hector"/>
    <x v="51"/>
  </r>
  <r>
    <n v="3393047"/>
    <s v="Oficial de Oficios"/>
    <s v="EFIS"/>
    <s v="EFIS"/>
    <m/>
    <s v="Oficial de Oficios"/>
    <s v="DU20211425"/>
    <s v="AR-NEUQUÉN"/>
    <s v="Energy Field Services"/>
    <x v="5"/>
    <s v="EFF-FP0926"/>
    <s v="254768"/>
    <s v="Rosales Jose Luis"/>
    <x v="41"/>
  </r>
  <r>
    <n v="3393048"/>
    <s v="Oficial Sr. de Oficios"/>
    <s v="EFIS"/>
    <s v="EFIS"/>
    <m/>
    <s v="Oficial Sr. de Oficios"/>
    <s v="DU33823386"/>
    <s v="AR-NEUQUÉN"/>
    <s v="Energy Field Services"/>
    <x v="5"/>
    <s v="EFF-FP0926"/>
    <s v="255192"/>
    <s v="Quintero Jonathan Carlos"/>
    <x v="41"/>
  </r>
  <r>
    <n v="3393049"/>
    <s v="Ingresante de Oficios"/>
    <s v="EFIS"/>
    <s v="EFIS"/>
    <m/>
    <s v="Ingresante de Oficios"/>
    <s v="DU45259450"/>
    <s v="AR-NEUQUÉN"/>
    <s v="Energy Field Services"/>
    <x v="5"/>
    <s v="EFF-FP0926"/>
    <s v="255206"/>
    <s v="Fonseca Juance Luca"/>
    <x v="41"/>
  </r>
  <r>
    <n v="3393050"/>
    <s v="Oficial de Oficios"/>
    <s v="EFIS"/>
    <s v="EFIS"/>
    <m/>
    <s v="Oficial de Oficios"/>
    <s v="DU24377040"/>
    <s v="AR-NEUQUÉN"/>
    <s v="Energy Field Services"/>
    <x v="5"/>
    <s v="EFF-FP0927"/>
    <s v="255143"/>
    <s v="Marcial Gomez Domingo Alfredo"/>
    <x v="52"/>
  </r>
  <r>
    <n v="3393051"/>
    <s v="Oficial de Oficios"/>
    <s v="EFIS"/>
    <s v="EFIS"/>
    <m/>
    <s v="Oficial de Oficios"/>
    <s v="DU26441378"/>
    <s v="AR-NEUQUÉN"/>
    <s v="Energy Field Services"/>
    <x v="5"/>
    <s v="EFF-FP0927"/>
    <s v="255104"/>
    <s v="Medel Alfredo Ignacio"/>
    <x v="52"/>
  </r>
  <r>
    <n v="3393052"/>
    <s v="Oficial de Oficios"/>
    <s v="EFIS"/>
    <s v="EFIS"/>
    <m/>
    <s v="Oficial de Oficios"/>
    <s v="DU38813625"/>
    <s v="AR-NEUQUÉN"/>
    <s v="Energy Field Services"/>
    <x v="5"/>
    <s v="EFF-FP0927"/>
    <s v="254891"/>
    <s v="Barahona Alexis Emanuel"/>
    <x v="52"/>
  </r>
  <r>
    <n v="3393053"/>
    <s v="Operador Especializado Semi Jr. Plantas"/>
    <s v="EFIS"/>
    <s v="EFIS"/>
    <m/>
    <s v="Operador Especializado Semi Jr. Plantas"/>
    <s v="DU30500550"/>
    <s v="AR-NEUQUÉN"/>
    <s v="Energy Field Services"/>
    <x v="5"/>
    <s v="EFF-FP0927"/>
    <s v="255162"/>
    <s v="Paynemil Jorge Raul"/>
    <x v="52"/>
  </r>
  <r>
    <n v="3423202"/>
    <s v="Oficial Mtto Well Services"/>
    <s v="EFIS"/>
    <s v="EFIS"/>
    <m/>
    <s v="Oficial Mtto Well Services"/>
    <s v="DU44090723"/>
    <s v="AR-NEUQUÉN"/>
    <s v="Energy Field Services"/>
    <x v="37"/>
    <s v="EFF-FP0934"/>
    <m/>
    <s v="Vizcarra Walter Adrian"/>
    <x v="53"/>
  </r>
  <r>
    <n v="3393055"/>
    <s v="Oficial de Oficios"/>
    <s v="EFIS"/>
    <s v="EFIS"/>
    <m/>
    <s v="Oficial de Oficios"/>
    <s v="DU28234455"/>
    <s v="AR-NEUQUÉN"/>
    <s v="Energy Field Services"/>
    <x v="5"/>
    <s v="EFF-FP0928"/>
    <s v="255110"/>
    <s v="Benedetti Adolfo"/>
    <x v="51"/>
  </r>
  <r>
    <n v="3393056"/>
    <s v="Oficial Especializado de Oficios"/>
    <s v="EFIS"/>
    <s v="EFIS"/>
    <m/>
    <s v="Oficial Especializado de Oficios"/>
    <s v="DU33721679"/>
    <s v="AR-NEUQUÉN"/>
    <s v="Energy Field Services"/>
    <x v="5"/>
    <s v="EFF-FP0928"/>
    <s v="255107"/>
    <s v="Garrido Hector Ruben"/>
    <x v="51"/>
  </r>
  <r>
    <n v="3393057"/>
    <s v="Oficial de Oficios"/>
    <s v="EFIS"/>
    <s v="EFIS"/>
    <m/>
    <s v="Oficial de Oficios"/>
    <s v="DU27368559"/>
    <s v="AR-NEUQUÉN"/>
    <s v="Energy Field Services"/>
    <x v="5"/>
    <s v="EFF-FP0928"/>
    <s v="255099"/>
    <s v="Urbina Omar Dario"/>
    <x v="51"/>
  </r>
  <r>
    <n v="3393058"/>
    <s v="Ayudante de Oficios"/>
    <s v="EFIS"/>
    <s v="EFIS"/>
    <m/>
    <m/>
    <s v="DU47470934"/>
    <s v="AR-NEUQUÉN"/>
    <s v="Energy Field Services"/>
    <x v="5"/>
    <s v="EFF-FP0927"/>
    <m/>
    <s v="Arismendi Miqueas Fernando Gabriel"/>
    <x v="52"/>
  </r>
  <r>
    <n v="3409930"/>
    <s v="Medio Oficial Sr. de Oficios"/>
    <s v="EFIS"/>
    <s v="EFIS"/>
    <m/>
    <s v="Medio Oficial Sr. de Oficios"/>
    <s v="DU29755100"/>
    <s v="AR-NEUQUÉN"/>
    <s v="Energy Field Services"/>
    <x v="30"/>
    <s v="EFF-FP0943"/>
    <s v="168223"/>
    <s v="Konaschuk Marcelo Nicolas"/>
    <x v="43"/>
  </r>
  <r>
    <n v="3393059"/>
    <s v="Oficial Especializado de Almacén"/>
    <s v="EFIS"/>
    <s v="EFIS"/>
    <m/>
    <s v="Oficial Especializado de Almacén"/>
    <s v="DU29939811"/>
    <s v="AR-NEUQUÉN"/>
    <s v="Energy Field Services"/>
    <x v="20"/>
    <s v="EFF-LB0942"/>
    <s v="255226"/>
    <s v="Millapan Ceferino Andres"/>
    <x v="54"/>
  </r>
  <r>
    <n v="3393060"/>
    <s v="Ayudante de Almacén"/>
    <s v="EFIS"/>
    <s v="EFIS"/>
    <m/>
    <s v="Ayudante de Almacén"/>
    <s v="DU30751007"/>
    <s v="AR-NEUQUÉN"/>
    <s v="Energy Field Services"/>
    <x v="30"/>
    <s v="EFF-FP0942"/>
    <s v="255152"/>
    <s v="Corvalan Romina Del Carmen"/>
    <x v="25"/>
  </r>
  <r>
    <n v="3393061"/>
    <s v="Administrativo de Almacén"/>
    <s v="EFIS"/>
    <s v="EFIS"/>
    <m/>
    <s v="Administrativo de Almacén"/>
    <s v="DU43703262"/>
    <s v="AR-NEUQUÉN"/>
    <s v="Energy Field Services"/>
    <x v="30"/>
    <s v="EFF-FP0942"/>
    <s v="254996"/>
    <s v="Gutierrez Franco Matias"/>
    <x v="25"/>
  </r>
  <r>
    <n v="3393062"/>
    <s v="Ayudante de Almacén"/>
    <s v="EFIS"/>
    <s v="EFIS"/>
    <m/>
    <s v="Ayudante de Almacén"/>
    <s v="DU42317710"/>
    <s v="AR-NEUQUÉN"/>
    <s v="Energy Field Services"/>
    <x v="30"/>
    <s v="EFF-FP0942"/>
    <s v="255121"/>
    <s v="Rivera Rosa Camila"/>
    <x v="25"/>
  </r>
  <r>
    <n v="3393063"/>
    <s v="Administrativo de Almacén"/>
    <s v="EFIS"/>
    <s v="EFIS"/>
    <m/>
    <s v="Administrativo de Almacén"/>
    <s v="DU39682526"/>
    <s v="AR-NEUQUÉN"/>
    <s v="Energy Field Services"/>
    <x v="20"/>
    <s v="EFF-AS0942"/>
    <s v="254887"/>
    <s v="Navarro Jonathan Adrian"/>
    <x v="55"/>
  </r>
  <r>
    <n v="3393064"/>
    <s v="Administrativo de Almacén"/>
    <s v="EFIS"/>
    <s v="EFIS"/>
    <m/>
    <s v="Administrativo de Almacén"/>
    <s v="DU40334680"/>
    <s v="AR-NEUQUÉN"/>
    <s v="Energy Field Services"/>
    <x v="30"/>
    <s v="EFF-FP0942"/>
    <s v="254978"/>
    <s v="Gonzalez Daiana Ayelen"/>
    <x v="25"/>
  </r>
  <r>
    <n v="3393065"/>
    <s v="Oficial de Almacén"/>
    <s v="EFIS"/>
    <s v="EFIS"/>
    <m/>
    <s v="Oficial de Almacén"/>
    <s v="DU22783932"/>
    <s v="AR-NEUQUÉN"/>
    <s v="Energy Field Services"/>
    <x v="30"/>
    <s v="EFF-FP0942"/>
    <s v="254875"/>
    <s v="Aqueveque Mariana"/>
    <x v="25"/>
  </r>
  <r>
    <n v="3393066"/>
    <s v="Oficial de Almacén"/>
    <s v="EFIS"/>
    <s v="EFIS"/>
    <m/>
    <s v="Oficial de Almacén"/>
    <s v="DU36257759"/>
    <s v="AR-NEUQUÉN"/>
    <s v="Energy Field Services"/>
    <x v="30"/>
    <s v="EFF-FP0942"/>
    <s v="255217"/>
    <s v="Guerrero Hector Martin"/>
    <x v="25"/>
  </r>
  <r>
    <n v="3393067"/>
    <s v="Ingresante de Almacén"/>
    <s v="EFIS"/>
    <s v="EFIS"/>
    <m/>
    <s v="Ingresante de Almacén"/>
    <s v="DU37213684"/>
    <s v="AR-NEUQUÉN"/>
    <s v="Energy Field Services"/>
    <x v="30"/>
    <s v="EFF-FP0942"/>
    <s v="255209"/>
    <s v="Contreras Romina Abigail"/>
    <x v="25"/>
  </r>
  <r>
    <n v="3393068"/>
    <s v="Medio Oficial Sr. de Almacén"/>
    <s v="EFIS"/>
    <s v="EFIS"/>
    <m/>
    <s v="Medio Oficial Sr. de Almacén"/>
    <s v="DU37946173"/>
    <s v="AR-NEUQUÉN"/>
    <s v="Energy Field Services"/>
    <x v="30"/>
    <s v="EFF-FP0942"/>
    <s v="255115"/>
    <s v="San Martin Antonella Claudia Graciela"/>
    <x v="25"/>
  </r>
  <r>
    <n v="3393069"/>
    <s v="Oficial Sr. de Oficios"/>
    <s v="EFIS"/>
    <s v="EFIS"/>
    <m/>
    <s v="Oficial Sr. de Oficios"/>
    <s v="DU36963012"/>
    <s v="AR-NEUQUÉN"/>
    <s v="Energy Field Services"/>
    <x v="30"/>
    <s v="EFF-FP0929"/>
    <s v="255089"/>
    <s v="Delgado Luciano Miguel"/>
    <x v="56"/>
  </r>
  <r>
    <n v="3393070"/>
    <s v="Oficial de Oficios"/>
    <s v="EFIS"/>
    <s v="EFIS"/>
    <m/>
    <s v="Oficial de Oficios"/>
    <s v="DU42605388"/>
    <s v="AR-NEUQUÉN"/>
    <s v="Energy Field Services"/>
    <x v="30"/>
    <s v="EFF-FP0929"/>
    <s v="255096"/>
    <s v="Mora Matias"/>
    <x v="56"/>
  </r>
  <r>
    <n v="3393071"/>
    <s v="Oficial de Oficios"/>
    <s v="EFIS"/>
    <s v="EFIS"/>
    <m/>
    <s v="Oficial de Oficios"/>
    <s v="DU30500730"/>
    <s v="AR-NEUQUÉN"/>
    <s v="Energy Field Services"/>
    <x v="30"/>
    <s v="EFF-FP0929"/>
    <s v="255087"/>
    <s v="Lizaso Federico Gaston"/>
    <x v="56"/>
  </r>
  <r>
    <n v="3393072"/>
    <s v="Oficial de Oficios"/>
    <s v="EFIS"/>
    <s v="EFIS"/>
    <m/>
    <s v="Oficial de Oficios"/>
    <s v="DU35310859"/>
    <s v="AR-NEUQUÉN"/>
    <s v="Energy Field Services"/>
    <x v="30"/>
    <s v="EFF-FP0929"/>
    <s v="255100"/>
    <s v="Perez Mauro Nicolas"/>
    <x v="56"/>
  </r>
  <r>
    <n v="3393073"/>
    <s v="Oficial Sr. de Oficios"/>
    <s v="EFIS"/>
    <s v="EFIS"/>
    <m/>
    <s v="Oficial Sr. de Oficios"/>
    <s v="DU39130831"/>
    <s v="AR-NEUQUÉN"/>
    <s v="Energy Field Services"/>
    <x v="30"/>
    <s v="EFF-FP0929"/>
    <n v="259531"/>
    <s v="Villar Lucas"/>
    <x v="56"/>
  </r>
  <r>
    <n v="3393074"/>
    <s v="Oficial de Oficios"/>
    <s v="EFIS"/>
    <s v="EFIS"/>
    <m/>
    <s v="Oficial de Oficios"/>
    <s v="DU34002040"/>
    <s v="AR-NEUQUÉN"/>
    <s v="Energy Field Services"/>
    <x v="30"/>
    <s v="EFF-FP0929"/>
    <s v="255092"/>
    <s v="Vazquez Jorge Andres"/>
    <x v="56"/>
  </r>
  <r>
    <n v="3393253"/>
    <s v="Oficial de Oficios"/>
    <s v="EFIS"/>
    <s v="EFIS"/>
    <m/>
    <s v="Oficial de Oficios"/>
    <s v="DU37101683"/>
    <s v="AR-NEUQUÉN"/>
    <s v="Energy Field Services"/>
    <x v="5"/>
    <s v="EFF-2E0929"/>
    <s v="255676"/>
    <s v="Sanchez Luz Dalila"/>
    <x v="57"/>
  </r>
  <r>
    <n v="3393075"/>
    <s v="Recorredor Especializado"/>
    <s v="EFIS"/>
    <s v="EFIS"/>
    <m/>
    <s v="Recorredor Especializado"/>
    <s v="DU22959268"/>
    <s v="AR-NEUQUÉN"/>
    <s v="Energy Field Services"/>
    <x v="38"/>
    <s v="EFF-2E0901"/>
    <s v="254848"/>
    <s v="Botella Sergio David"/>
    <x v="58"/>
  </r>
  <r>
    <n v="3393076"/>
    <s v="Recorredor Especializado"/>
    <s v="EFIS"/>
    <s v="EFIS"/>
    <m/>
    <s v="Recorredor Especializado"/>
    <s v="DU29856948"/>
    <s v="AR-NEUQUÉN"/>
    <s v="Energy Field Services"/>
    <x v="38"/>
    <s v="EFF-2E0901"/>
    <s v="255120"/>
    <s v="Zabala Lopez Claudio Luis Alberto"/>
    <x v="58"/>
  </r>
  <r>
    <n v="3393077"/>
    <s v="Recorredor Especializado"/>
    <s v="EFIS"/>
    <s v="EFIS"/>
    <m/>
    <s v="Recorredor Especializado"/>
    <s v="DU41609046"/>
    <s v="AR-NEUQUÉN"/>
    <s v="Energy Field Services"/>
    <x v="38"/>
    <s v="EFF-2E0901"/>
    <s v="255203"/>
    <s v="Gonzalez Franco Emanuel"/>
    <x v="58"/>
  </r>
  <r>
    <n v="3393078"/>
    <s v="Recorredor Especializado"/>
    <s v="EFIS"/>
    <s v="EFIS"/>
    <m/>
    <s v="Recorredor Especializado"/>
    <s v="DU31346496"/>
    <s v="AR-NEUQUÉN"/>
    <s v="Energy Field Services"/>
    <x v="38"/>
    <s v="EFF-2E0901"/>
    <s v="255815"/>
    <s v="Salva Juan Alberto"/>
    <x v="58"/>
  </r>
  <r>
    <n v="3393079"/>
    <s v="Recorredor Especializado"/>
    <s v="EFIS"/>
    <s v="EFIS"/>
    <m/>
    <s v="Recorredor Especializado"/>
    <s v="DU14783528"/>
    <s v="AR-NEUQUÉN"/>
    <s v="Energy Field Services"/>
    <x v="38"/>
    <s v="EFF-2E0901"/>
    <s v="255124"/>
    <s v="Bustos Jesus Mario"/>
    <x v="58"/>
  </r>
  <r>
    <n v="3393080"/>
    <s v="Recorredor"/>
    <s v="EFIS"/>
    <s v="EFIS"/>
    <m/>
    <s v="Recorredor"/>
    <s v="DU35835313"/>
    <s v="AR-NEUQUÉN"/>
    <s v="Energy Field Services"/>
    <x v="38"/>
    <s v="EFF-2E0901"/>
    <s v="254893"/>
    <s v="Campos Lucas Jose"/>
    <x v="58"/>
  </r>
  <r>
    <n v="3393081"/>
    <s v="Recorredor"/>
    <s v="EFIS"/>
    <s v="EFIS"/>
    <m/>
    <s v="Recorredor"/>
    <s v="DU37468345"/>
    <s v="AR-NEUQUÉN"/>
    <s v="Energy Field Services"/>
    <x v="38"/>
    <s v="EFF-2E0901"/>
    <s v="254830"/>
    <s v="Melgarejo Gaspar Emmanuel"/>
    <x v="58"/>
  </r>
  <r>
    <n v="3393082"/>
    <s v="Chofer Transporte Personal (9+1)"/>
    <s v="EFIS"/>
    <s v="EFIS"/>
    <m/>
    <s v="Chofer Transporte Personal (9+1)"/>
    <s v="DU29027371"/>
    <s v="AR-NEUQUÉN"/>
    <s v="Energy Field Services"/>
    <x v="38"/>
    <s v="EFF-2E0943"/>
    <s v="255149"/>
    <s v="San Martin Norberto Antonio"/>
    <x v="59"/>
  </r>
  <r>
    <n v="3393083"/>
    <s v="Chofer Transporte Personal (9+1)"/>
    <s v="EFIS"/>
    <s v="EFIS"/>
    <m/>
    <s v="Chofer Transporte Personal (9+1)"/>
    <s v="DU30896746"/>
    <s v="AR-NEUQUÉN"/>
    <s v="Energy Field Services"/>
    <x v="38"/>
    <s v="EFF-2E0943"/>
    <s v="254841"/>
    <s v="Santander Marcos Roman"/>
    <x v="59"/>
  </r>
  <r>
    <n v="3392970"/>
    <s v="Operador Especializado de Plantas"/>
    <s v="EFIS"/>
    <s v="EFIS"/>
    <m/>
    <s v="Operador Especializado de Plantas"/>
    <s v="DU38811359"/>
    <s v="AR-NEUQUÉN"/>
    <s v="Energy Field Services"/>
    <x v="30"/>
    <s v="EFF-FP0909"/>
    <n v="261781"/>
    <s v="Parada Matias Gonzalo "/>
    <x v="42"/>
  </r>
  <r>
    <n v="3410843"/>
    <s v="Oficial de Almacén"/>
    <s v="EFIS"/>
    <s v="EFIS"/>
    <m/>
    <s v="Oficial de Almacén"/>
    <s v="DU37624033"/>
    <s v="AR-NEUQUÉN"/>
    <s v="Energy Field Services"/>
    <x v="38"/>
    <s v="EFF-2E0942"/>
    <m/>
    <s v="Castro Micaela Aldana"/>
    <x v="60"/>
  </r>
  <r>
    <n v="3410842"/>
    <s v="Oficial de Almacén"/>
    <s v="EFIS"/>
    <s v="EFIS"/>
    <m/>
    <s v="Oficial de Almacén"/>
    <s v="DU35595724"/>
    <s v="AR-NEUQUÉN"/>
    <s v="Energy Field Services"/>
    <x v="38"/>
    <s v="EFF-2E0942"/>
    <m/>
    <s v="Sierra Sergio"/>
    <x v="60"/>
  </r>
  <r>
    <n v="3392965"/>
    <s v="Operador Especializado de Plantas"/>
    <s v="EFIS"/>
    <s v="EFIS"/>
    <m/>
    <s v="Operador Especializado de Plantas"/>
    <s v="DU35312911"/>
    <s v="AR-NEUQUÉN"/>
    <s v="Energy Field Services"/>
    <x v="30"/>
    <s v="EFF-FP0907"/>
    <s v="254900"/>
    <s v="Olmedo Nahuel Fernando"/>
    <x v="16"/>
  </r>
  <r>
    <n v="3392961"/>
    <s v="Operador Especializado de Plantas"/>
    <s v="EFIS"/>
    <s v="EFIS"/>
    <m/>
    <s v="Operador Especializado de Plantas"/>
    <s v="DU44605225"/>
    <s v="AR-NEUQUÉN"/>
    <s v="Energy Field Services"/>
    <x v="30"/>
    <s v="EFF-FP0907"/>
    <m/>
    <s v="Vega Obreque Yoel Ezequiel"/>
    <x v="16"/>
  </r>
  <r>
    <n v="3406969"/>
    <s v="Operador Especializado de Plantas"/>
    <s v="EFIS"/>
    <s v="EFIS"/>
    <m/>
    <s v="Operador Especializado de Plantas"/>
    <s v="DU42849197"/>
    <s v="AR-NEUQUÉN"/>
    <s v="Energy Field Services"/>
    <x v="30"/>
    <s v="EFF-FP0907"/>
    <m/>
    <s v="Videla Lucas Patricio"/>
    <x v="16"/>
  </r>
  <r>
    <n v="3392962"/>
    <s v="Operador Especializado de Plantas"/>
    <s v="EFIS"/>
    <s v="EFIS"/>
    <m/>
    <s v="Operador Especializado de Plantas"/>
    <s v="DU26530596"/>
    <s v="AR-NEUQUÉN"/>
    <s v="Energy Field Services"/>
    <x v="30"/>
    <s v="EFF-FP0907"/>
    <s v="254767"/>
    <s v="Villagra Eduardo Rogelio"/>
    <x v="16"/>
  </r>
  <r>
    <n v="3437879"/>
    <s v="Well Services Supervisor"/>
    <s v="EFIS"/>
    <s v="EFIS"/>
    <m/>
    <s v="Well Services Supervisor"/>
    <s v="DU33178833"/>
    <s v="AR-NEUQUÉN"/>
    <s v="Energy Field Services"/>
    <x v="34"/>
    <s v="EFR-FN2007"/>
    <m/>
    <s v="Angelletta Walter Dario"/>
    <x v="2"/>
  </r>
  <r>
    <n v="3406971"/>
    <s v="Oficial Especializado de Oficios"/>
    <s v="EFIS"/>
    <s v="EFIS"/>
    <m/>
    <s v="Oficial Especializado de Oficios"/>
    <s v="DU26217477"/>
    <s v="AR-NEUQUÉN"/>
    <s v="Energy Field Services"/>
    <x v="5"/>
    <s v="EFF-FP0924"/>
    <m/>
    <s v="Irigoyen Mauro Adrian"/>
    <x v="50"/>
  </r>
  <r>
    <n v="3406972"/>
    <s v="Oficial Especializado de Oficios"/>
    <s v="EFIS"/>
    <s v="EFIS"/>
    <m/>
    <s v="Oficial Especializado de Oficios"/>
    <s v="DU30234385"/>
    <s v="AR-NEUQUÉN"/>
    <s v="Energy Field Services"/>
    <x v="5"/>
    <s v="EFF-FP0924"/>
    <m/>
    <s v="Gonzalez Nicolas Hipolito"/>
    <x v="50"/>
  </r>
  <r>
    <n v="3406973"/>
    <s v="Oficial Especializado de Oficios"/>
    <s v="EFIS"/>
    <s v="EFIS"/>
    <m/>
    <s v="Oficial Especializado de Oficios"/>
    <s v="DU38810885"/>
    <s v="AR-NEUQUÉN"/>
    <s v="Energy Field Services"/>
    <x v="5"/>
    <s v="EFF-FP0924"/>
    <n v="265980"/>
    <s v="Meier Tomas Agustin"/>
    <x v="50"/>
  </r>
  <r>
    <n v="3406974"/>
    <s v="Operador Principal de Cuadrilla"/>
    <s v="EFIS"/>
    <s v="EFIS"/>
    <m/>
    <s v="Operador Principal de Cuadrilla"/>
    <s v="DU39521568"/>
    <s v="AR-NEUQUÉN"/>
    <s v="Energy Field Services"/>
    <x v="5"/>
    <s v="EFF-FP0924"/>
    <s v="255229"/>
    <s v="Garcia Jorge Andres"/>
    <x v="50"/>
  </r>
  <r>
    <n v="3414078"/>
    <s v="Mtto TLM"/>
    <s v="EFIS"/>
    <s v="EFIS"/>
    <m/>
    <s v="Mtto TLM"/>
    <s v="DU36841295"/>
    <s v="AR-NEUQUÉN"/>
    <s v="Energy Field Services"/>
    <x v="39"/>
    <s v="EFF-FN1002"/>
    <m/>
    <s v="Contreras Hector Hilario"/>
    <x v="61"/>
  </r>
  <r>
    <n v="3414079"/>
    <s v="Mtto TLM"/>
    <s v="EFIS"/>
    <s v="EFIS"/>
    <m/>
    <s v="Mtto TLM"/>
    <s v="DU32293205"/>
    <s v="AR-NEUQUÉN"/>
    <s v="Energy Field Services"/>
    <x v="39"/>
    <s v="EFF-FN1002"/>
    <m/>
    <s v="Flores Nicolas"/>
    <x v="61"/>
  </r>
  <r>
    <n v="3414080"/>
    <s v="Mtto TLM"/>
    <s v="EFIS"/>
    <s v="EFIS"/>
    <m/>
    <s v="Mtto TLM"/>
    <s v="DU32368748"/>
    <s v="AR-NEUQUÉN"/>
    <s v="Energy Field Services"/>
    <x v="39"/>
    <s v="EFF-FN1002"/>
    <m/>
    <s v="Barrientos Juan Emilio"/>
    <x v="61"/>
  </r>
  <r>
    <n v="3414082"/>
    <s v="Mec Flota TLM"/>
    <s v="EFIS"/>
    <s v="EFIS"/>
    <m/>
    <s v="Mec Flota TLM"/>
    <s v="DU31358735"/>
    <s v="AR-NEUQUÉN"/>
    <s v="Energy Field Services"/>
    <x v="36"/>
    <s v="EFF-FN1003"/>
    <m/>
    <s v="Telechea Gonzalo Gabriel"/>
    <x v="44"/>
  </r>
  <r>
    <n v="3414081"/>
    <s v="Mec Flota TLM"/>
    <s v="EFIS"/>
    <s v="EFIS"/>
    <m/>
    <s v="Mec Flota TLM"/>
    <s v="DU33475851"/>
    <s v="AR-NEUQUÉN"/>
    <s v="Energy Field Services"/>
    <x v="36"/>
    <s v="EFF-FN1003"/>
    <m/>
    <s v="Ochoa Diego Fernando"/>
    <x v="44"/>
  </r>
  <r>
    <n v="3414084"/>
    <s v="4to hombre"/>
    <s v="EFIS"/>
    <s v="EFIS"/>
    <m/>
    <s v="4to hombre"/>
    <s v="DU28617096"/>
    <s v="AR-NEUQUÉN"/>
    <s v="Energy Field Services"/>
    <x v="39"/>
    <s v="EFF-FN1001"/>
    <m/>
    <s v="Chandia Daniel Arcadio"/>
    <x v="62"/>
  </r>
  <r>
    <n v="3414083"/>
    <s v="4to hombre"/>
    <s v="EFIS"/>
    <s v="EFIS"/>
    <m/>
    <s v="4to hombre"/>
    <s v="DU36775845"/>
    <s v="AR-NEUQUÉN"/>
    <s v="Energy Field Services"/>
    <x v="39"/>
    <s v="EFF-FN1001"/>
    <m/>
    <s v="Baigorria Rodrigo Emanuel "/>
    <x v="62"/>
  </r>
  <r>
    <n v="3414085"/>
    <s v="4to hombre"/>
    <s v="EFIS"/>
    <s v="EFIS"/>
    <m/>
    <s v="4to hombre"/>
    <s v="DU43759638"/>
    <s v="AR-NEUQUÉN"/>
    <s v="Energy Field Services"/>
    <x v="39"/>
    <s v="EFF-FN1001"/>
    <n v="259674"/>
    <s v="Reyes Castillo Lihuen"/>
    <x v="62"/>
  </r>
  <r>
    <n v="3414087"/>
    <s v="Coord Camiones"/>
    <s v="EFIS"/>
    <s v="EFIS"/>
    <m/>
    <s v="Coord Camiones"/>
    <s v="DU40613156"/>
    <s v="AR-NEUQUÉN"/>
    <s v="Energy Field Services"/>
    <x v="39"/>
    <s v="EFF-FN1001"/>
    <m/>
    <s v="Echegaray Antonio Facundo Siguen"/>
    <x v="62"/>
  </r>
  <r>
    <n v="3414086"/>
    <s v="Coord Camiones"/>
    <s v="EFIS"/>
    <s v="EFIS"/>
    <m/>
    <s v="Coord Camiones"/>
    <s v="DU47268512"/>
    <s v="AR-NEUQUÉN"/>
    <s v="Energy Field Services"/>
    <x v="39"/>
    <s v="EFF-FN1001"/>
    <m/>
    <s v="Ganga Luciano"/>
    <x v="62"/>
  </r>
  <r>
    <n v="3414088"/>
    <s v="Coord Camiones"/>
    <s v="EFIS"/>
    <s v="EFIS"/>
    <m/>
    <s v="Coord Camiones"/>
    <s v="DU31978173"/>
    <s v="AR-NEUQUÉN"/>
    <s v="Energy Field Services"/>
    <x v="39"/>
    <s v="EFF-FN1001"/>
    <m/>
    <s v="Peña Dardo Levis"/>
    <x v="62"/>
  </r>
  <r>
    <n v="3414090"/>
    <s v="Op. Autoelevador"/>
    <s v="EFIS"/>
    <s v="EFIS"/>
    <m/>
    <s v="Op. Autoelevador"/>
    <s v="DU39130922"/>
    <s v="AR-NEUQUÉN"/>
    <s v="Energy Field Services"/>
    <x v="39"/>
    <s v="EFF-FN1001"/>
    <m/>
    <s v="Manzano Peña Rodrigo Arnaldo"/>
    <x v="62"/>
  </r>
  <r>
    <n v="3414089"/>
    <s v="Op. Autoelevador"/>
    <s v="EFIS"/>
    <s v="EFIS"/>
    <m/>
    <s v="Op. Autoelevador"/>
    <s v="DU38492506"/>
    <s v="AR-NEUQUÉN"/>
    <s v="Energy Field Services"/>
    <x v="39"/>
    <s v="EFF-FN1001"/>
    <m/>
    <s v="Martinez Mauricio Alejandro"/>
    <x v="62"/>
  </r>
  <r>
    <n v="3414091"/>
    <s v="Op. Autoelevador"/>
    <s v="EFIS"/>
    <s v="EFIS"/>
    <m/>
    <s v="Op. Autoelevador"/>
    <s v="DU41241632"/>
    <s v="AR-NEUQUÉN"/>
    <s v="Energy Field Services"/>
    <x v="39"/>
    <s v="EFF-FN1001"/>
    <m/>
    <s v="Barrera Poblete Pablo Alejandro"/>
    <x v="62"/>
  </r>
  <r>
    <n v="3414092"/>
    <s v="Op. Blender"/>
    <s v="EFIS"/>
    <s v="EFIS"/>
    <m/>
    <s v="Op. Blender"/>
    <s v="DU25329470"/>
    <s v="AR-NEUQUÉN"/>
    <s v="Energy Field Services"/>
    <x v="39"/>
    <s v="EFF-FN1001"/>
    <m/>
    <s v="Hidalgo Sergio Antonio"/>
    <x v="62"/>
  </r>
  <r>
    <n v="3414093"/>
    <s v="Op. Blender"/>
    <s v="EFIS"/>
    <s v="EFIS"/>
    <m/>
    <s v="Op. Blender"/>
    <s v="DU39604014"/>
    <s v="AR-NEUQUÉN"/>
    <s v="Energy Field Services"/>
    <x v="39"/>
    <s v="EFF-FN1001"/>
    <m/>
    <s v="Alaniz Rodrigo Nicolás"/>
    <x v="62"/>
  </r>
  <r>
    <n v="3414094"/>
    <s v="Op. Blender"/>
    <s v="EFIS"/>
    <s v="EFIS"/>
    <m/>
    <s v="Op. Blender"/>
    <s v="DU31086065"/>
    <s v="AR-NEUQUÉN"/>
    <s v="Energy Field Services"/>
    <x v="39"/>
    <s v="EFF-FN1001"/>
    <m/>
    <s v="Sierpina Cristian Luis"/>
    <x v="62"/>
  </r>
  <r>
    <n v="3414095"/>
    <s v="Relevo"/>
    <s v="EFIS"/>
    <s v="EFIS"/>
    <m/>
    <s v="Relevo"/>
    <s v="DU40217645"/>
    <s v="AR-NEUQUÉN"/>
    <s v="Energy Field Services"/>
    <x v="39"/>
    <s v="EFF-FN1004"/>
    <m/>
    <s v="Jarpa Matias Leonardo"/>
    <x v="63"/>
  </r>
  <r>
    <n v="3414096"/>
    <s v="Relevo"/>
    <s v="EFIS"/>
    <s v="EFIS"/>
    <m/>
    <s v="Relevo"/>
    <s v="DU28443459"/>
    <s v="AR-NEUQUÉN"/>
    <s v="Energy Field Services"/>
    <x v="39"/>
    <s v="EFF-FN1004"/>
    <m/>
    <s v="Torres Lorena"/>
    <x v="63"/>
  </r>
  <r>
    <n v="3414097"/>
    <s v="Relevo"/>
    <s v="EFIS"/>
    <s v="EFIS"/>
    <m/>
    <s v="Relevo"/>
    <s v="DU33042995"/>
    <s v="AR-NEUQUÉN"/>
    <s v="Energy Field Services"/>
    <x v="39"/>
    <s v="EFF-FN1004"/>
    <m/>
    <s v="Escalona Saulo Hermogenes"/>
    <x v="63"/>
  </r>
  <r>
    <n v="3418971"/>
    <s v="Trainee Plantas"/>
    <s v="EFIS"/>
    <s v="EFIS"/>
    <m/>
    <s v="Trainee Plantas"/>
    <m/>
    <s v="AR-NEUQUÉN"/>
    <s v="Energy Field Services"/>
    <x v="30"/>
    <s v="EFF-FP0905"/>
    <m/>
    <s v="Vacante Trainee genera"/>
    <x v="39"/>
  </r>
  <r>
    <n v="3437878"/>
    <s v="Well Services Supervisor"/>
    <m/>
    <m/>
    <m/>
    <s v="Well Services Supervisor"/>
    <s v="DU24829767"/>
    <s v="AR-NEUQUÉN"/>
    <s v="Energy Field Services"/>
    <x v="34"/>
    <s v="EFR-FN2007"/>
    <m/>
    <s v="Sanchez Burgos Fidel Facundo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">
  <r>
    <x v="0"/>
    <s v="1939"/>
    <x v="0"/>
    <s v="Sueldos TECPE"/>
    <e v="#N/A"/>
    <s v="Mamani Carlos Walter"/>
    <s v="EFIS"/>
    <s v="NQN"/>
    <s v="1005464"/>
    <s v="O&amp;M Services"/>
    <x v="0"/>
    <m/>
    <m/>
    <m/>
    <m/>
    <m/>
    <s v="Headcount"/>
    <m/>
    <x v="0"/>
  </r>
  <r>
    <x v="0"/>
    <m/>
    <x v="1"/>
    <s v="Sueldos TECPE"/>
    <e v="#N/A"/>
    <s v="Lusso Mauricio Ricardo"/>
    <s v="EFIS"/>
    <s v="NQN"/>
    <m/>
    <s v="O&amp;M Services"/>
    <x v="0"/>
    <m/>
    <m/>
    <m/>
    <m/>
    <m/>
    <s v="Headcount"/>
    <m/>
    <x v="0"/>
  </r>
  <r>
    <x v="0"/>
    <s v="128654"/>
    <x v="2"/>
    <s v="Sueldos TECPE"/>
    <e v="#N/A"/>
    <s v="Fabro Facundo"/>
    <s v="EFIS"/>
    <s v="NQN"/>
    <s v="1016733"/>
    <s v="O&amp;M Services"/>
    <x v="0"/>
    <m/>
    <m/>
    <m/>
    <m/>
    <m/>
    <s v="Headcount"/>
    <m/>
    <x v="0"/>
  </r>
  <r>
    <x v="0"/>
    <s v="200530"/>
    <x v="3"/>
    <s v="Sueldos TECPE"/>
    <e v="#N/A"/>
    <s v="Fabro Facundo"/>
    <s v="EFIS"/>
    <s v="NQN"/>
    <s v="1016735"/>
    <s v="O&amp;M Services"/>
    <x v="0"/>
    <m/>
    <m/>
    <m/>
    <m/>
    <m/>
    <s v="Headcount"/>
    <m/>
    <x v="0"/>
  </r>
  <r>
    <x v="0"/>
    <s v="177692"/>
    <x v="4"/>
    <s v="Sueldos TECPE"/>
    <e v="#N/A"/>
    <s v="Lusso Mauricio Ricardo"/>
    <s v="EFIS"/>
    <s v="NQN"/>
    <s v="1016737"/>
    <s v="O&amp;M Services"/>
    <x v="0"/>
    <m/>
    <m/>
    <m/>
    <m/>
    <m/>
    <s v="Headcount"/>
    <m/>
    <x v="0"/>
  </r>
  <r>
    <x v="1"/>
    <m/>
    <x v="5"/>
    <s v="Facilitadores FP"/>
    <s v="FacilitadordeServicios"/>
    <s v="Batallan Pablo Alejandro"/>
    <s v="EFIS"/>
    <s v="NQN"/>
    <s v="1016733"/>
    <s v="O&amp;M Services"/>
    <x v="0"/>
    <m/>
    <m/>
    <m/>
    <m/>
    <m/>
    <s v="Headcount"/>
    <m/>
    <x v="0"/>
  </r>
  <r>
    <x v="1"/>
    <s v="254827"/>
    <x v="6"/>
    <s v="Facilitadores FP"/>
    <s v="FacilitadordeServicios"/>
    <s v="Batallan Pablo Alejandro"/>
    <s v="EFIS"/>
    <s v="NQN"/>
    <s v="1016733"/>
    <s v="O&amp;M Services"/>
    <x v="0"/>
    <m/>
    <m/>
    <m/>
    <m/>
    <m/>
    <s v="Headcount"/>
    <m/>
    <x v="0"/>
  </r>
  <r>
    <x v="1"/>
    <s v="254833"/>
    <x v="7"/>
    <s v="Facilitadores FP"/>
    <s v="FacilitadordeServicios"/>
    <s v="Batallan Pablo Alejandro"/>
    <s v="EFIS"/>
    <s v="NQN"/>
    <s v="1016733"/>
    <s v="O&amp;M Services"/>
    <x v="0"/>
    <m/>
    <m/>
    <m/>
    <m/>
    <m/>
    <s v="Headcount"/>
    <m/>
    <x v="0"/>
  </r>
  <r>
    <x v="2"/>
    <s v="255159"/>
    <x v="8"/>
    <s v="Supervisores Well Services"/>
    <s v="FacilitadordeServicios"/>
    <s v="Lopez Rodrigo Gaston"/>
    <s v="EFIS"/>
    <s v="NQN"/>
    <s v="1016735"/>
    <s v="O&amp;M Services"/>
    <x v="0"/>
    <m/>
    <m/>
    <m/>
    <m/>
    <m/>
    <s v="Headcount"/>
    <m/>
    <x v="0"/>
  </r>
  <r>
    <x v="3"/>
    <s v="254757"/>
    <x v="9"/>
    <s v="Facilitadores CONV"/>
    <s v="FacilitadordeServicios"/>
    <s v="Lopez Rodrigo Gaston"/>
    <s v="EFIS"/>
    <s v="NQN"/>
    <s v="1016735"/>
    <s v="O&amp;M Services"/>
    <x v="0"/>
    <m/>
    <m/>
    <m/>
    <m/>
    <m/>
    <s v="Headcount"/>
    <m/>
    <x v="0"/>
  </r>
  <r>
    <x v="1"/>
    <s v="254792"/>
    <x v="10"/>
    <s v="Facilitadores FP"/>
    <s v="FacilitadordeServicios"/>
    <s v="Lopez Rodrigo Gaston"/>
    <s v="EFIS"/>
    <s v="NQN"/>
    <s v="1016735"/>
    <s v="O&amp;M Services"/>
    <x v="0"/>
    <m/>
    <m/>
    <m/>
    <m/>
    <m/>
    <s v="Headcount"/>
    <m/>
    <x v="0"/>
  </r>
  <r>
    <x v="1"/>
    <s v="254775"/>
    <x v="11"/>
    <s v="Facilitadores FP"/>
    <s v="FacilitadordeServicios"/>
    <s v="Lopez Rodrigo Gaston"/>
    <s v="EFIS"/>
    <s v="NQN"/>
    <s v="1016735"/>
    <s v="O&amp;M Services"/>
    <x v="0"/>
    <m/>
    <m/>
    <m/>
    <m/>
    <m/>
    <s v="Headcount"/>
    <m/>
    <x v="0"/>
  </r>
  <r>
    <x v="4"/>
    <m/>
    <x v="12"/>
    <s v="Mtto Mecánico FP"/>
    <s v="Relevomantenimiento"/>
    <s v="CORDOVA, DANIELA / ALTAMIRANDA, LEANDRO"/>
    <s v="EFIS"/>
    <s v="NQN"/>
    <m/>
    <s v="Maintenance"/>
    <x v="1"/>
    <m/>
    <m/>
    <m/>
    <m/>
    <m/>
    <s v="Headcount"/>
    <m/>
    <x v="0"/>
  </r>
  <r>
    <x v="5"/>
    <m/>
    <x v="13"/>
    <s v="PJ TLM"/>
    <s v="Supervisoroperativo/Producción"/>
    <s v="Segura Alejandro"/>
    <s v="EFIS"/>
    <s v="NQN"/>
    <m/>
    <s v="Maintenance"/>
    <x v="0"/>
    <m/>
    <m/>
    <m/>
    <m/>
    <m/>
    <s v="Headcount"/>
    <m/>
    <x v="0"/>
  </r>
  <r>
    <x v="0"/>
    <m/>
    <x v="14"/>
    <s v="Sueldos TECPE"/>
    <e v="#N/A"/>
    <s v="Gili Arianna"/>
    <s v="EFIS"/>
    <s v="NQN"/>
    <s v="1016737"/>
    <s v="O&amp;M Services"/>
    <x v="0"/>
    <m/>
    <m/>
    <m/>
    <m/>
    <m/>
    <s v="Headcount"/>
    <m/>
    <x v="0"/>
  </r>
  <r>
    <x v="0"/>
    <s v="187649"/>
    <x v="15"/>
    <s v="Sueldos TECPE"/>
    <e v="#N/A"/>
    <s v="Romano Mariano Bruno"/>
    <s v="EFIS"/>
    <s v="NQN"/>
    <s v="1000268"/>
    <s v="Adm. &amp; Finance Neuquén"/>
    <x v="0"/>
    <m/>
    <m/>
    <m/>
    <m/>
    <m/>
    <s v="Headcount"/>
    <m/>
    <x v="0"/>
  </r>
  <r>
    <x v="6"/>
    <s v="256601"/>
    <x v="16"/>
    <s v="Indirectos PRR"/>
    <s v="Personalnooperativo"/>
    <s v="Corbalan Federico Martin"/>
    <s v="EFIS"/>
    <s v="NQN"/>
    <s v="1005464"/>
    <s v="Human Resources"/>
    <x v="0"/>
    <m/>
    <m/>
    <m/>
    <m/>
    <m/>
    <s v="Headcount"/>
    <m/>
    <x v="0"/>
  </r>
  <r>
    <x v="6"/>
    <s v="254980"/>
    <x v="17"/>
    <s v="Indirectos PRR"/>
    <s v="Personalnooperativo"/>
    <s v="Corbalan Federico Martin"/>
    <s v="EFIS"/>
    <s v="NQN"/>
    <s v="1005464"/>
    <s v="Human Resources"/>
    <x v="0"/>
    <m/>
    <m/>
    <m/>
    <m/>
    <m/>
    <s v="Headcount"/>
    <m/>
    <x v="0"/>
  </r>
  <r>
    <x v="6"/>
    <m/>
    <x v="18"/>
    <s v="Indirectos PRR"/>
    <s v="Personalnooperativo"/>
    <s v="Corbalan Federico Martin"/>
    <s v="EFIS"/>
    <s v="NQN"/>
    <s v="1005464"/>
    <s v="Human Resources"/>
    <x v="0"/>
    <m/>
    <m/>
    <m/>
    <m/>
    <m/>
    <s v="Headcount"/>
    <m/>
    <x v="0"/>
  </r>
  <r>
    <x v="6"/>
    <m/>
    <x v="19"/>
    <s v="Indirectos PRR"/>
    <s v="Personalnooperativo"/>
    <s v="Corbalan Federico Martin"/>
    <m/>
    <m/>
    <m/>
    <m/>
    <x v="2"/>
    <m/>
    <m/>
    <m/>
    <m/>
    <m/>
    <m/>
    <m/>
    <x v="1"/>
  </r>
  <r>
    <x v="6"/>
    <m/>
    <x v="20"/>
    <s v="Indirectos PRR"/>
    <s v="Personalnooperativo"/>
    <s v="Gaisch Alejandro Hector"/>
    <m/>
    <m/>
    <m/>
    <m/>
    <x v="2"/>
    <m/>
    <m/>
    <m/>
    <m/>
    <m/>
    <m/>
    <m/>
    <x v="1"/>
  </r>
  <r>
    <x v="6"/>
    <m/>
    <x v="21"/>
    <s v="Indirectos PRR"/>
    <s v="Personalnooperativo"/>
    <s v="Gaisch Alejandro Hector"/>
    <s v="EFIS"/>
    <s v="NQN"/>
    <s v="1010254"/>
    <s v="Labor Relations &amp; CORE"/>
    <x v="0"/>
    <m/>
    <m/>
    <m/>
    <m/>
    <m/>
    <s v="Headcount"/>
    <m/>
    <x v="0"/>
  </r>
  <r>
    <x v="6"/>
    <m/>
    <x v="22"/>
    <s v="Indirectos PRR"/>
    <s v="Personalnooperativo"/>
    <s v="Seri Walter Omar"/>
    <s v="EFIS"/>
    <s v="NQN"/>
    <s v="1013992"/>
    <s v="Quality"/>
    <x v="0"/>
    <m/>
    <m/>
    <m/>
    <m/>
    <m/>
    <s v="Headcount"/>
    <m/>
    <x v="0"/>
  </r>
  <r>
    <x v="6"/>
    <n v="257138"/>
    <x v="23"/>
    <s v="Indirectos PRR"/>
    <s v="Supervisoroperativo/Producción"/>
    <s v="Zuluaga Gabriel"/>
    <s v="EFIS"/>
    <s v="NQN"/>
    <s v="1005464"/>
    <s v="General Services"/>
    <x v="0"/>
    <m/>
    <m/>
    <m/>
    <m/>
    <m/>
    <s v="Headcount"/>
    <m/>
    <x v="0"/>
  </r>
  <r>
    <x v="7"/>
    <s v="254879"/>
    <x v="24"/>
    <s v="SAS PRR"/>
    <s v="SupervisoresSAS/OT"/>
    <s v="Chazarreta Jose Antonio"/>
    <s v="EFIS"/>
    <s v="NQN"/>
    <s v="1005233"/>
    <s v="Health &amp; Safety"/>
    <x v="0"/>
    <m/>
    <m/>
    <m/>
    <m/>
    <m/>
    <s v="Headcount"/>
    <m/>
    <x v="0"/>
  </r>
  <r>
    <x v="7"/>
    <m/>
    <x v="25"/>
    <s v="SAS PRR"/>
    <s v="SupervisoresSAS/OT"/>
    <s v="Chazarreta Jose Antonio"/>
    <s v="EFIS"/>
    <s v="NQN"/>
    <s v="1005233"/>
    <s v="Health &amp; Safety"/>
    <x v="0"/>
    <m/>
    <m/>
    <m/>
    <m/>
    <m/>
    <s v="Headcount"/>
    <m/>
    <x v="0"/>
  </r>
  <r>
    <x v="7"/>
    <s v="254977"/>
    <x v="26"/>
    <s v="SAS PRR"/>
    <s v="SupervisoresSAS/OT"/>
    <s v="Chazarreta Jose Antonio"/>
    <s v="EFIS"/>
    <s v="NQN"/>
    <s v="1005233"/>
    <s v="Health &amp; Safety"/>
    <x v="0"/>
    <m/>
    <m/>
    <m/>
    <m/>
    <m/>
    <s v="Headcount"/>
    <m/>
    <x v="0"/>
  </r>
  <r>
    <x v="7"/>
    <s v="255177"/>
    <x v="27"/>
    <s v="SAS PRR"/>
    <s v="SupervisoresSAS/OT"/>
    <s v="Chazarreta Jose Antonio"/>
    <s v="EFIS"/>
    <s v="NQN"/>
    <s v="1005233"/>
    <s v="Health &amp; Safety"/>
    <x v="0"/>
    <m/>
    <m/>
    <m/>
    <m/>
    <m/>
    <s v="Headcount"/>
    <m/>
    <x v="0"/>
  </r>
  <r>
    <x v="7"/>
    <s v="255221"/>
    <x v="28"/>
    <s v="SAS PRR"/>
    <s v="SupervisoresSAS/OT"/>
    <s v="Lemes Mariana De Los Angeles"/>
    <s v="EFIS"/>
    <s v="NQN"/>
    <s v="1005233"/>
    <s v="Health &amp; Safety"/>
    <x v="0"/>
    <m/>
    <m/>
    <m/>
    <m/>
    <m/>
    <s v="Headcount"/>
    <m/>
    <x v="0"/>
  </r>
  <r>
    <x v="7"/>
    <s v="255075"/>
    <x v="29"/>
    <s v="SAS PRR"/>
    <s v="SupervisoresSAS/OT"/>
    <s v="Lemes Mariana De Los Angeles"/>
    <s v="EFIS"/>
    <s v="NQN"/>
    <s v="1005233"/>
    <s v="Health &amp; Safety"/>
    <x v="0"/>
    <m/>
    <m/>
    <m/>
    <m/>
    <m/>
    <s v="Headcount"/>
    <m/>
    <x v="0"/>
  </r>
  <r>
    <x v="8"/>
    <m/>
    <x v="30"/>
    <s v="Facilitadores LT2E"/>
    <s v="FacilitadordeServicios"/>
    <s v="Lopez Rodrigo Gaston"/>
    <s v="EFIS"/>
    <s v="NQN"/>
    <m/>
    <s v="O&amp;M Services"/>
    <x v="0"/>
    <m/>
    <m/>
    <m/>
    <m/>
    <m/>
    <s v="Headcount"/>
    <m/>
    <x v="0"/>
  </r>
  <r>
    <x v="8"/>
    <m/>
    <x v="31"/>
    <s v="Facilitadores LT2E"/>
    <s v="FacilitadordeServicios"/>
    <s v="Lopez Rodrigo Gaston"/>
    <s v="EFIS"/>
    <s v="NQN"/>
    <m/>
    <s v="O&amp;M Services"/>
    <x v="0"/>
    <m/>
    <m/>
    <m/>
    <m/>
    <m/>
    <s v="Headcount"/>
    <m/>
    <x v="0"/>
  </r>
  <r>
    <x v="7"/>
    <n v="260722"/>
    <x v="32"/>
    <s v="SAS PRR"/>
    <s v="Personalnooperativo"/>
    <s v="Martel Maximiliano Jose Tomas"/>
    <s v="EFIS"/>
    <s v="NQN"/>
    <s v="1005233"/>
    <s v="Health &amp; Safety"/>
    <x v="0"/>
    <m/>
    <m/>
    <m/>
    <m/>
    <m/>
    <s v="Headcount"/>
    <m/>
    <x v="0"/>
  </r>
  <r>
    <x v="7"/>
    <n v="260324"/>
    <x v="33"/>
    <s v="SAS PRR"/>
    <s v="Personalnooperativo"/>
    <s v="Martel Maximiliano Jose Tomas"/>
    <s v="EFIS"/>
    <s v="NQN"/>
    <s v="1005233"/>
    <s v="Health &amp; Safety"/>
    <x v="0"/>
    <m/>
    <m/>
    <m/>
    <m/>
    <m/>
    <s v="Headcount"/>
    <m/>
    <x v="0"/>
  </r>
  <r>
    <x v="7"/>
    <s v="256366"/>
    <x v="34"/>
    <s v="SAS PRR"/>
    <s v="SupervisoresSAS/OT"/>
    <s v="Carreño Venegas Cecilia"/>
    <s v="EFIS"/>
    <s v="NQN"/>
    <s v="1010264"/>
    <s v="Environmental"/>
    <x v="0"/>
    <m/>
    <m/>
    <m/>
    <m/>
    <m/>
    <s v="Headcount"/>
    <m/>
    <x v="0"/>
  </r>
  <r>
    <x v="7"/>
    <m/>
    <x v="35"/>
    <s v="SAS PRR"/>
    <s v="SupervisoresSAS/OT"/>
    <s v="Carreño Venegas Cecilia"/>
    <s v="EFIS"/>
    <s v="NQN"/>
    <m/>
    <s v="Environmental"/>
    <x v="0"/>
    <m/>
    <m/>
    <m/>
    <m/>
    <m/>
    <s v="Headcount"/>
    <m/>
    <x v="0"/>
  </r>
  <r>
    <x v="7"/>
    <s v="254752"/>
    <x v="36"/>
    <s v="SAS PRR"/>
    <s v="Personalnooperativo"/>
    <s v="Martel Maximiliano Jose Tomas"/>
    <s v="EFIS"/>
    <s v="NQN"/>
    <s v="1005233"/>
    <s v="Health &amp; Safety"/>
    <x v="0"/>
    <m/>
    <m/>
    <m/>
    <m/>
    <m/>
    <s v="Headcount"/>
    <m/>
    <x v="0"/>
  </r>
  <r>
    <x v="9"/>
    <s v="254854"/>
    <x v="37"/>
    <s v="OT PRR"/>
    <s v="SupervisoresSAS/OT"/>
    <s v="Contreras Fernando Andres"/>
    <s v="EFIS"/>
    <s v="NQN"/>
    <s v="1010274"/>
    <s v="Maintenance"/>
    <x v="0"/>
    <m/>
    <m/>
    <m/>
    <m/>
    <m/>
    <s v="Headcount"/>
    <m/>
    <x v="0"/>
  </r>
  <r>
    <x v="9"/>
    <m/>
    <x v="38"/>
    <s v="OT PRR"/>
    <s v="SupervisoresSAS/OT"/>
    <s v="Contreras Fernando Andres"/>
    <s v="EFIS"/>
    <s v="NQN"/>
    <s v="1010274"/>
    <s v="Maintenance"/>
    <x v="0"/>
    <m/>
    <m/>
    <m/>
    <m/>
    <m/>
    <s v="Headcount"/>
    <m/>
    <x v="0"/>
  </r>
  <r>
    <x v="9"/>
    <s v="254849"/>
    <x v="39"/>
    <s v="OT PRR"/>
    <s v="SupervisoresSAS/OT"/>
    <s v="Contreras Fernando Andres"/>
    <s v="EFIS"/>
    <s v="NQN"/>
    <s v="1010274"/>
    <s v="Maintenance"/>
    <x v="0"/>
    <m/>
    <m/>
    <m/>
    <m/>
    <m/>
    <s v="Headcount"/>
    <m/>
    <x v="0"/>
  </r>
  <r>
    <x v="9"/>
    <s v="254780"/>
    <x v="40"/>
    <s v="OT PRR"/>
    <s v="SupervisoresSAS/OT"/>
    <s v="Contreras Fernando Andres"/>
    <s v="EFIS"/>
    <s v="NQN"/>
    <s v="1010274"/>
    <s v="Maintenance"/>
    <x v="0"/>
    <m/>
    <m/>
    <m/>
    <m/>
    <m/>
    <s v="Headcount"/>
    <m/>
    <x v="0"/>
  </r>
  <r>
    <x v="9"/>
    <m/>
    <x v="41"/>
    <s v="OT PRR"/>
    <s v="SupervisoresSAS/OT"/>
    <s v="Contreras Fernando Andres"/>
    <s v="EFIS"/>
    <s v="NQN"/>
    <s v="1010274"/>
    <s v="Maintenance"/>
    <x v="0"/>
    <m/>
    <m/>
    <m/>
    <m/>
    <m/>
    <s v="Headcount"/>
    <m/>
    <x v="0"/>
  </r>
  <r>
    <x v="9"/>
    <s v="254765"/>
    <x v="42"/>
    <s v="OT PRR"/>
    <s v="SupervisoresSAS/OT"/>
    <s v="Contreras Fernando Andres"/>
    <s v="EFIS"/>
    <s v="NQN"/>
    <s v="1010274"/>
    <s v="Maintenance"/>
    <x v="0"/>
    <m/>
    <m/>
    <m/>
    <m/>
    <m/>
    <s v="Headcount"/>
    <m/>
    <x v="0"/>
  </r>
  <r>
    <x v="9"/>
    <s v="254760"/>
    <x v="43"/>
    <s v="OT PRR"/>
    <s v="SupervisoresSAS/OT"/>
    <s v="Contreras Fernando Andres"/>
    <s v="EFIS"/>
    <s v="NQN"/>
    <s v="1010274"/>
    <s v="Maintenance"/>
    <x v="0"/>
    <m/>
    <m/>
    <m/>
    <m/>
    <m/>
    <s v="Headcount"/>
    <m/>
    <x v="0"/>
  </r>
  <r>
    <x v="9"/>
    <s v="254858"/>
    <x v="44"/>
    <s v="OT PRR"/>
    <s v="SupervisoresSAS/OT"/>
    <s v="Schmidt Brian Eric"/>
    <s v="EFIS"/>
    <s v="NQN"/>
    <s v="1010274"/>
    <s v="Maintenance"/>
    <x v="0"/>
    <m/>
    <m/>
    <m/>
    <m/>
    <m/>
    <s v="Headcount"/>
    <m/>
    <x v="0"/>
  </r>
  <r>
    <x v="9"/>
    <s v="254861"/>
    <x v="45"/>
    <s v="OT PRR"/>
    <s v="SupervisoresSAS/OT"/>
    <s v="Schmidt Brian Eric"/>
    <s v="EFIS"/>
    <s v="NQN"/>
    <s v="1010274"/>
    <s v="Maintenance"/>
    <x v="0"/>
    <m/>
    <m/>
    <m/>
    <m/>
    <m/>
    <s v="Headcount"/>
    <m/>
    <x v="0"/>
  </r>
  <r>
    <x v="10"/>
    <m/>
    <x v="46"/>
    <s v="Integridad PRR"/>
    <s v="Supervisoroperativo/Producción"/>
    <s v="Diaz Luis Alberto"/>
    <s v="EFIS"/>
    <s v="NQN"/>
    <s v="1010274"/>
    <s v="Maintenance"/>
    <x v="0"/>
    <m/>
    <m/>
    <m/>
    <m/>
    <m/>
    <s v="Headcount"/>
    <m/>
    <x v="0"/>
  </r>
  <r>
    <x v="11"/>
    <s v="254771"/>
    <x v="47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12"/>
    <s v="254847"/>
    <x v="48"/>
    <s v="Supervisores Mtto"/>
    <s v="Supervisoroperativo/Producción"/>
    <s v="Sheffield Naiara Eileen"/>
    <s v="EFIS"/>
    <s v="NQN"/>
    <s v="1010274"/>
    <s v="Maintenance"/>
    <x v="0"/>
    <m/>
    <m/>
    <m/>
    <m/>
    <m/>
    <s v="Headcount"/>
    <m/>
    <x v="0"/>
  </r>
  <r>
    <x v="12"/>
    <m/>
    <x v="49"/>
    <s v="Supervisores Mtto"/>
    <s v="Supervisoroperativo/Producción"/>
    <s v="Sheffield Naiara Eileen"/>
    <s v="EFIS"/>
    <s v="NQN"/>
    <s v="1010274"/>
    <s v="Maintenance"/>
    <x v="0"/>
    <m/>
    <m/>
    <m/>
    <m/>
    <m/>
    <s v="Headcount"/>
    <m/>
    <x v="0"/>
  </r>
  <r>
    <x v="12"/>
    <s v="255150"/>
    <x v="50"/>
    <s v="Supervisores Mtto"/>
    <s v="Supervisoroperativo/Producción"/>
    <s v="Mazoue Juan Manuel"/>
    <s v="EFIS"/>
    <s v="NQN"/>
    <s v="1010274"/>
    <s v="Maintenance"/>
    <x v="0"/>
    <m/>
    <m/>
    <m/>
    <m/>
    <m/>
    <s v="Headcount"/>
    <m/>
    <x v="2"/>
  </r>
  <r>
    <x v="9"/>
    <m/>
    <x v="51"/>
    <s v="OT PRR"/>
    <e v="#N/A"/>
    <s v="Forte Federico"/>
    <s v="EFIS"/>
    <s v="NQN"/>
    <m/>
    <s v="Maintenance"/>
    <x v="0"/>
    <m/>
    <m/>
    <m/>
    <m/>
    <m/>
    <s v="Headcount"/>
    <m/>
    <x v="0"/>
  </r>
  <r>
    <x v="13"/>
    <s v="255101"/>
    <x v="52"/>
    <s v="Operadores SALA EPF"/>
    <e v="#N/A"/>
    <s v="Doria Pablo Cesar"/>
    <s v="EFIS"/>
    <s v="NQN"/>
    <s v="1012899"/>
    <s v="Operations"/>
    <x v="0"/>
    <m/>
    <m/>
    <m/>
    <m/>
    <m/>
    <s v="Headcount"/>
    <m/>
    <x v="0"/>
  </r>
  <r>
    <x v="13"/>
    <s v="254987"/>
    <x v="53"/>
    <s v="Operadores SALA EPF"/>
    <e v="#N/A"/>
    <s v="Doria Pablo Cesar"/>
    <s v="EFIS"/>
    <s v="NQN"/>
    <s v="1012899"/>
    <s v="Operations"/>
    <x v="0"/>
    <m/>
    <m/>
    <m/>
    <m/>
    <m/>
    <s v="Headcount"/>
    <m/>
    <x v="0"/>
  </r>
  <r>
    <x v="13"/>
    <s v="256591"/>
    <x v="54"/>
    <s v="Operadores SALA EPF"/>
    <e v="#N/A"/>
    <s v="Doria Pablo Cesar"/>
    <s v="EFIS"/>
    <s v="NQN"/>
    <s v="1012899"/>
    <s v="Operations"/>
    <x v="0"/>
    <m/>
    <m/>
    <m/>
    <m/>
    <m/>
    <s v="Headcount"/>
    <m/>
    <x v="0"/>
  </r>
  <r>
    <x v="13"/>
    <s v="254826"/>
    <x v="55"/>
    <s v="Operadores SALA EPF"/>
    <e v="#N/A"/>
    <s v="Doria Pablo Cesar"/>
    <s v="EFIS"/>
    <s v="NQN"/>
    <s v="1012899"/>
    <s v="Operations"/>
    <x v="0"/>
    <m/>
    <m/>
    <m/>
    <m/>
    <m/>
    <s v="Headcount"/>
    <m/>
    <x v="0"/>
  </r>
  <r>
    <x v="14"/>
    <s v="255696"/>
    <x v="56"/>
    <s v="Supervisores Producción"/>
    <e v="#N/A"/>
    <s v="Alcantu Bargna Marcelo Luis"/>
    <s v="EFIS"/>
    <s v="NQN"/>
    <s v="1012899"/>
    <s v="Operations"/>
    <x v="0"/>
    <m/>
    <m/>
    <m/>
    <m/>
    <m/>
    <s v="Headcount"/>
    <m/>
    <x v="0"/>
  </r>
  <r>
    <x v="14"/>
    <s v="256240"/>
    <x v="57"/>
    <s v="Supervisores Producción"/>
    <s v="Supervisoroperativo/Producción"/>
    <s v="Baissac Roberto Enrique"/>
    <s v="EFIS"/>
    <s v="NQN"/>
    <s v="1016687"/>
    <s v="Operations"/>
    <x v="0"/>
    <m/>
    <m/>
    <m/>
    <m/>
    <m/>
    <s v="Headcount"/>
    <m/>
    <x v="0"/>
  </r>
  <r>
    <x v="14"/>
    <s v="255019"/>
    <x v="58"/>
    <s v="Supervisores Producción"/>
    <s v="Supervisoroperativo/Producción"/>
    <s v="Baissac Roberto Enrique"/>
    <s v="EFIS"/>
    <s v="NQN"/>
    <s v="1016687"/>
    <s v="Operations"/>
    <x v="0"/>
    <m/>
    <m/>
    <m/>
    <m/>
    <m/>
    <s v="Headcount"/>
    <m/>
    <x v="2"/>
  </r>
  <r>
    <x v="10"/>
    <s v="254862"/>
    <x v="59"/>
    <s v="Integridad PRR"/>
    <s v="Supervisoroperativo/Producción"/>
    <s v="Diaz Luis Alberto"/>
    <s v="EFIS"/>
    <s v="NQN"/>
    <s v="1010274"/>
    <s v="Maintenance"/>
    <x v="0"/>
    <m/>
    <m/>
    <m/>
    <m/>
    <m/>
    <s v="Headcount"/>
    <m/>
    <x v="0"/>
  </r>
  <r>
    <x v="15"/>
    <s v="254876"/>
    <x v="60"/>
    <s v="Programador PRR"/>
    <s v="Personalnooperativo"/>
    <s v="Gulayin Mariana Laura"/>
    <s v="EFIS"/>
    <s v="NQN"/>
    <s v="1010274"/>
    <s v="Maintenance"/>
    <x v="0"/>
    <m/>
    <m/>
    <m/>
    <m/>
    <m/>
    <s v="Headcount"/>
    <m/>
    <x v="0"/>
  </r>
  <r>
    <x v="15"/>
    <s v="254863"/>
    <x v="61"/>
    <s v="Programador PRR"/>
    <s v="Personalnooperativo"/>
    <s v="Cañaveras Adrian Marcelo"/>
    <s v="EFIS"/>
    <s v="NQN"/>
    <s v="1010274"/>
    <s v="Maintenance"/>
    <x v="0"/>
    <m/>
    <m/>
    <m/>
    <m/>
    <m/>
    <s v="Headcount"/>
    <m/>
    <x v="0"/>
  </r>
  <r>
    <x v="9"/>
    <m/>
    <x v="51"/>
    <s v="OT PRR"/>
    <e v="#N/A"/>
    <s v="Forte Federico"/>
    <s v="EFIS"/>
    <s v="NQN"/>
    <m/>
    <s v="Maintenance"/>
    <x v="0"/>
    <m/>
    <m/>
    <m/>
    <m/>
    <m/>
    <s v="Headcount"/>
    <m/>
    <x v="0"/>
  </r>
  <r>
    <x v="15"/>
    <m/>
    <x v="62"/>
    <s v="Programador PRR"/>
    <s v="Supervisoroperativo/Producción"/>
    <s v="Cañaveras Adrian Marcelo"/>
    <s v="EFIS"/>
    <s v="NQN"/>
    <m/>
    <s v="Maintenance"/>
    <x v="0"/>
    <m/>
    <m/>
    <m/>
    <m/>
    <m/>
    <s v="Headcount"/>
    <m/>
    <x v="1"/>
  </r>
  <r>
    <x v="10"/>
    <s v="255083"/>
    <x v="63"/>
    <s v="Integridad PRR"/>
    <s v="Supervisoroperativo/Producción"/>
    <s v="Diaz Luis Alberto"/>
    <s v="EFIS"/>
    <s v="NQN"/>
    <s v="1010274"/>
    <s v="Maintenance"/>
    <x v="0"/>
    <m/>
    <m/>
    <m/>
    <m/>
    <m/>
    <s v="Headcount"/>
    <m/>
    <x v="0"/>
  </r>
  <r>
    <x v="12"/>
    <s v="255182"/>
    <x v="64"/>
    <s v="Supervisores Mtto"/>
    <s v="Supervisoroperativo/Producción"/>
    <s v="Kraemer Nicolás"/>
    <s v="EFIS"/>
    <s v="NQN"/>
    <s v="1010274"/>
    <s v="Maintenance"/>
    <x v="0"/>
    <m/>
    <m/>
    <m/>
    <m/>
    <m/>
    <s v="Headcount"/>
    <m/>
    <x v="0"/>
  </r>
  <r>
    <x v="16"/>
    <s v="254831"/>
    <x v="65"/>
    <s v="Oper. Planta Compresión FP"/>
    <s v="OperadordeCompresiónPlanta"/>
    <s v="HUARTE, ESTEBAN"/>
    <s v="EFIS"/>
    <s v="NQN"/>
    <s v="1016735"/>
    <s v="Operations"/>
    <x v="1"/>
    <m/>
    <m/>
    <m/>
    <m/>
    <m/>
    <s v="Headcount"/>
    <m/>
    <x v="0"/>
  </r>
  <r>
    <x v="5"/>
    <m/>
    <x v="66"/>
    <s v="PJ TLM"/>
    <s v="SupervisoresSAS/OT"/>
    <s v="Martel Maximiliano Jose Tomas"/>
    <s v="EFIS"/>
    <s v="NQN"/>
    <m/>
    <s v="Health &amp; Safety TLM"/>
    <x v="0"/>
    <m/>
    <m/>
    <m/>
    <m/>
    <m/>
    <s v="Headcount"/>
    <m/>
    <x v="0"/>
  </r>
  <r>
    <x v="5"/>
    <s v="254860"/>
    <x v="67"/>
    <s v="PJ TLM"/>
    <s v="Supervisoroperativo/Producción"/>
    <s v="Segura Alejandro"/>
    <s v="EFIS"/>
    <s v="NQN"/>
    <m/>
    <s v="Maintenance TLM"/>
    <x v="0"/>
    <m/>
    <m/>
    <m/>
    <m/>
    <m/>
    <s v="Headcount"/>
    <m/>
    <x v="0"/>
  </r>
  <r>
    <x v="17"/>
    <m/>
    <x v="68"/>
    <s v="PJ - TLM 2"/>
    <s v="Supervisoroperativo/Producción"/>
    <s v="Segura Alejandro"/>
    <s v="EFIS"/>
    <s v="NQN"/>
    <m/>
    <s v="Maintenance TLM"/>
    <x v="0"/>
    <m/>
    <m/>
    <m/>
    <m/>
    <m/>
    <m/>
    <m/>
    <x v="1"/>
  </r>
  <r>
    <x v="15"/>
    <s v="254984"/>
    <x v="69"/>
    <s v="Programador PRR"/>
    <s v="Personalnooperativo"/>
    <s v="Cañaveras Adrian Marcelo"/>
    <s v="EFIS"/>
    <s v="NQN"/>
    <s v="1010274"/>
    <s v="Maintenance"/>
    <x v="0"/>
    <m/>
    <m/>
    <m/>
    <m/>
    <m/>
    <s v="Headcount"/>
    <m/>
    <x v="0"/>
  </r>
  <r>
    <x v="18"/>
    <m/>
    <x v="70"/>
    <s v="Mecánicos FP"/>
    <e v="#N/A"/>
    <s v="CASAL, GUSTAVO"/>
    <s v="EFIS"/>
    <s v="NQN"/>
    <m/>
    <s v="General Services"/>
    <x v="1"/>
    <m/>
    <m/>
    <m/>
    <m/>
    <m/>
    <s v="Headcount"/>
    <m/>
    <x v="3"/>
  </r>
  <r>
    <x v="7"/>
    <m/>
    <x v="71"/>
    <s v="SAS PRR"/>
    <s v="SupervisoresSAS/OT"/>
    <s v="Vicencio Cecilia Stefania"/>
    <s v="EFIS"/>
    <s v="NQN"/>
    <s v="1005233"/>
    <s v="Health &amp; Safety"/>
    <x v="0"/>
    <m/>
    <m/>
    <m/>
    <m/>
    <m/>
    <s v="Headcount"/>
    <m/>
    <x v="0"/>
  </r>
  <r>
    <x v="5"/>
    <m/>
    <x v="72"/>
    <s v="PJ TLM"/>
    <s v="FacilitadordeServicios"/>
    <s v="Batallan Pablo Alejandro"/>
    <s v="EFIS"/>
    <s v="NQN"/>
    <m/>
    <s v="O&amp;M Services"/>
    <x v="0"/>
    <m/>
    <m/>
    <m/>
    <m/>
    <m/>
    <s v="Headcount"/>
    <m/>
    <x v="0"/>
  </r>
  <r>
    <x v="19"/>
    <m/>
    <x v="73"/>
    <s v="Otras especialidades"/>
    <s v="Supervisoroperativo/Producción"/>
    <s v="Carabajal Marcelo"/>
    <s v="EFIS"/>
    <s v="NQN"/>
    <m/>
    <s v="Facilities"/>
    <x v="0"/>
    <m/>
    <m/>
    <m/>
    <m/>
    <m/>
    <s v="Headcount"/>
    <m/>
    <x v="0"/>
  </r>
  <r>
    <x v="19"/>
    <m/>
    <x v="74"/>
    <s v="Otras especialidades"/>
    <n v="0"/>
    <s v="Carreras Natania"/>
    <s v="EFIS"/>
    <s v="NQN"/>
    <m/>
    <s v="Maintenance"/>
    <x v="0"/>
    <m/>
    <m/>
    <m/>
    <m/>
    <m/>
    <s v="Headcount"/>
    <m/>
    <x v="0"/>
  </r>
  <r>
    <x v="20"/>
    <m/>
    <x v="75"/>
    <s v="Supervisores SERGE"/>
    <s v="Supervisoroperativo/Producción"/>
    <s v="Zuluaga Gabriel"/>
    <s v="EFIS"/>
    <s v="NQN"/>
    <m/>
    <s v="General Services"/>
    <x v="0"/>
    <m/>
    <m/>
    <m/>
    <m/>
    <m/>
    <s v="Headcount"/>
    <m/>
    <x v="0"/>
  </r>
  <r>
    <x v="20"/>
    <m/>
    <x v="76"/>
    <s v="Supervisores SERGE"/>
    <e v="#N/A"/>
    <s v="Zuluaga Gabriel"/>
    <s v="EFIS"/>
    <s v="NQN"/>
    <m/>
    <s v="General Services"/>
    <x v="0"/>
    <m/>
    <m/>
    <m/>
    <m/>
    <m/>
    <s v="Headcount"/>
    <m/>
    <x v="0"/>
  </r>
  <r>
    <x v="6"/>
    <m/>
    <x v="77"/>
    <s v="Indirectos PRR"/>
    <e v="#N/A"/>
    <s v="Zuluaga Gabriel"/>
    <s v="EFIS"/>
    <s v="NQN"/>
    <m/>
    <s v="General Services"/>
    <x v="0"/>
    <m/>
    <m/>
    <m/>
    <m/>
    <m/>
    <s v="Headcount"/>
    <m/>
    <x v="0"/>
  </r>
  <r>
    <x v="2"/>
    <m/>
    <x v="78"/>
    <s v="Supervisores Well Services"/>
    <e v="#N/A"/>
    <s v="Buzaglo Sebastian"/>
    <s v="EFIS"/>
    <s v="NQN"/>
    <m/>
    <s v="Operations"/>
    <x v="0"/>
    <m/>
    <m/>
    <m/>
    <m/>
    <m/>
    <s v="Headcount"/>
    <m/>
    <x v="0"/>
  </r>
  <r>
    <x v="2"/>
    <m/>
    <x v="79"/>
    <s v="Supervisores Well Services"/>
    <e v="#N/A"/>
    <s v="Buzaglo Sebastian"/>
    <s v="EFIS"/>
    <s v="NQN"/>
    <m/>
    <s v="Operations"/>
    <x v="0"/>
    <m/>
    <m/>
    <m/>
    <m/>
    <m/>
    <s v="Headcount"/>
    <m/>
    <x v="0"/>
  </r>
  <r>
    <x v="21"/>
    <m/>
    <x v="80"/>
    <s v="Sup. Interferencias/Entregas LT2E"/>
    <s v="Supervisoroperativo/Producción"/>
    <s v="Crespo Luis"/>
    <m/>
    <m/>
    <m/>
    <m/>
    <x v="2"/>
    <m/>
    <m/>
    <m/>
    <m/>
    <m/>
    <m/>
    <m/>
    <x v="1"/>
  </r>
  <r>
    <x v="21"/>
    <m/>
    <x v="80"/>
    <s v="Sup. Interferencias/Entregas LT2E"/>
    <s v="Supervisoroperativo/Producción"/>
    <s v="Crespo Luis"/>
    <m/>
    <m/>
    <m/>
    <m/>
    <x v="2"/>
    <m/>
    <m/>
    <m/>
    <m/>
    <m/>
    <m/>
    <m/>
    <x v="1"/>
  </r>
  <r>
    <x v="21"/>
    <m/>
    <x v="80"/>
    <s v="Sup. Interferencias/Entregas LT2E"/>
    <s v="Supervisoroperativo/Producción"/>
    <s v="Crespo Luis"/>
    <m/>
    <m/>
    <m/>
    <m/>
    <x v="2"/>
    <m/>
    <m/>
    <m/>
    <m/>
    <m/>
    <m/>
    <m/>
    <x v="1"/>
  </r>
  <r>
    <x v="22"/>
    <s v="256993"/>
    <x v="81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4838"/>
    <x v="82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222"/>
    <x v="83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074"/>
    <x v="84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258"/>
    <x v="85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254"/>
    <x v="86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040"/>
    <x v="87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223"/>
    <x v="88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129"/>
    <x v="89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125"/>
    <x v="90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262"/>
    <x v="91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5263"/>
    <x v="92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2"/>
    <s v="254843"/>
    <x v="93"/>
    <s v="Oper. PTA LBAS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23"/>
    <s v="255293"/>
    <x v="94"/>
    <s v="Tareas Generales Prod LBAS"/>
    <s v="Relevomantenimiento"/>
    <s v="BECHARA, LUCAS ANTONIO"/>
    <s v="EFIS"/>
    <s v="NQN"/>
    <s v="1016735"/>
    <s v="Operations"/>
    <x v="1"/>
    <m/>
    <m/>
    <m/>
    <m/>
    <m/>
    <s v="Headcount"/>
    <m/>
    <x v="0"/>
  </r>
  <r>
    <x v="23"/>
    <n v="263314"/>
    <x v="95"/>
    <s v="Tareas Generales Prod LBAS"/>
    <s v="TareasgeneralesLBAS"/>
    <s v="BECHARA, LUCAS ANTONIO"/>
    <s v="EFIS"/>
    <s v="NQN"/>
    <s v="1016735"/>
    <s v="Operations"/>
    <x v="1"/>
    <m/>
    <m/>
    <m/>
    <m/>
    <m/>
    <s v="Headcount"/>
    <m/>
    <x v="0"/>
  </r>
  <r>
    <x v="24"/>
    <s v="255194"/>
    <x v="96"/>
    <s v="T. Grales Serge PRR"/>
    <s v="Serviciosgenerales"/>
    <s v="BECHARA, LUCAS ANTONIO"/>
    <s v="EFIS"/>
    <s v="NQN"/>
    <s v="1016735"/>
    <s v="General Services"/>
    <x v="1"/>
    <m/>
    <m/>
    <m/>
    <m/>
    <m/>
    <s v="Headcount"/>
    <m/>
    <x v="0"/>
  </r>
  <r>
    <x v="25"/>
    <s v="254890"/>
    <x v="97"/>
    <s v="Aux. Almacén FP"/>
    <s v="AlmacenNoconvencional"/>
    <s v="CASAL, GUSTAVO"/>
    <s v="EFIS"/>
    <s v="NQN"/>
    <s v="1016735"/>
    <s v="Warehouse"/>
    <x v="1"/>
    <m/>
    <m/>
    <m/>
    <m/>
    <m/>
    <s v="Headcount"/>
    <m/>
    <x v="0"/>
  </r>
  <r>
    <x v="25"/>
    <m/>
    <x v="98"/>
    <s v="Aux. Almacén FP"/>
    <s v="AlmacenNoconvencional"/>
    <s v="CASAL, GUSTAVO"/>
    <s v="EFIS"/>
    <s v="NQN"/>
    <s v="1016735"/>
    <s v="Warehouse"/>
    <x v="1"/>
    <m/>
    <m/>
    <m/>
    <m/>
    <m/>
    <s v="Headcount"/>
    <m/>
    <x v="0"/>
  </r>
  <r>
    <x v="11"/>
    <s v="254753"/>
    <x v="99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11"/>
    <s v="255097"/>
    <x v="100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11"/>
    <s v="255220"/>
    <x v="101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7"/>
    <m/>
    <x v="102"/>
    <s v="SAS PRR"/>
    <s v="SupervisoresSAS/OT"/>
    <s v="Vicencio Cecilia Stefania"/>
    <s v="EFIS"/>
    <s v="NQN"/>
    <s v="1005233"/>
    <s v="Health &amp; Safety"/>
    <x v="0"/>
    <m/>
    <m/>
    <m/>
    <m/>
    <m/>
    <s v="Headcount"/>
    <m/>
    <x v="0"/>
  </r>
  <r>
    <x v="11"/>
    <s v="254845"/>
    <x v="103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11"/>
    <s v="255008"/>
    <x v="104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11"/>
    <s v="255188"/>
    <x v="105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11"/>
    <s v="254766"/>
    <x v="106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11"/>
    <s v="255816"/>
    <x v="107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11"/>
    <s v="255000"/>
    <x v="108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11"/>
    <s v="254898"/>
    <x v="109"/>
    <s v="Oper campo LBAS"/>
    <s v="OperadordeCampo"/>
    <s v="BECHARA, LUCAS ANTONIO"/>
    <s v="EFIS"/>
    <s v="NQN"/>
    <s v="1016735"/>
    <s v="Operations"/>
    <x v="1"/>
    <m/>
    <m/>
    <m/>
    <m/>
    <m/>
    <s v="Headcount"/>
    <m/>
    <x v="0"/>
  </r>
  <r>
    <x v="26"/>
    <n v="258097"/>
    <x v="110"/>
    <s v="Mtto Instrumentos LBAS"/>
    <s v="InstrumentistaConvencional"/>
    <s v="BECHARA, LUCAS ANTONIO"/>
    <s v="EFIS"/>
    <s v="NQN"/>
    <s v="1016733"/>
    <s v="Maintenance"/>
    <x v="1"/>
    <m/>
    <m/>
    <m/>
    <m/>
    <m/>
    <s v="Headcount"/>
    <m/>
    <x v="0"/>
  </r>
  <r>
    <x v="26"/>
    <s v="255148"/>
    <x v="111"/>
    <s v="Mtto Instrumentos LBAS"/>
    <s v="InstrumentistaConvencional"/>
    <s v="BECHARA, LUCAS ANTONIO"/>
    <s v="EFIS"/>
    <s v="NQN"/>
    <s v="1016733"/>
    <s v="Maintenance"/>
    <x v="1"/>
    <m/>
    <m/>
    <m/>
    <m/>
    <m/>
    <s v="Headcount"/>
    <m/>
    <x v="0"/>
  </r>
  <r>
    <x v="27"/>
    <s v="255042"/>
    <x v="112"/>
    <s v="Mtto Eléctrico LBAS"/>
    <s v="EléctricoConvencional"/>
    <s v="BECHARA, LUCAS ANTONIO"/>
    <s v="EFIS"/>
    <s v="NQN"/>
    <s v="1016733"/>
    <s v="Maintenance"/>
    <x v="1"/>
    <m/>
    <m/>
    <m/>
    <m/>
    <m/>
    <s v="Headcount"/>
    <m/>
    <x v="0"/>
  </r>
  <r>
    <x v="27"/>
    <s v="255227"/>
    <x v="113"/>
    <s v="Mtto Eléctrico LBAS"/>
    <s v="EléctricoConvencional"/>
    <s v="BECHARA, LUCAS ANTONIO"/>
    <s v="EFIS"/>
    <s v="NQN"/>
    <s v="1016733"/>
    <s v="Maintenance"/>
    <x v="1"/>
    <m/>
    <m/>
    <m/>
    <m/>
    <m/>
    <s v="Headcount"/>
    <m/>
    <x v="0"/>
  </r>
  <r>
    <x v="28"/>
    <s v="255186"/>
    <x v="114"/>
    <s v="Mtto Mecánico LBAS"/>
    <s v="MecánicosLBAS"/>
    <s v="BECHARA, LUCAS ANTONIO"/>
    <s v="EFIS"/>
    <s v="NQN"/>
    <s v="1016733"/>
    <s v="Maintenance"/>
    <x v="1"/>
    <m/>
    <m/>
    <m/>
    <m/>
    <m/>
    <s v="Headcount"/>
    <m/>
    <x v="0"/>
  </r>
  <r>
    <x v="28"/>
    <s v="254751"/>
    <x v="115"/>
    <s v="Mtto Mecánico LBAS"/>
    <s v="MecánicosLBAS"/>
    <s v="BECHARA, LUCAS ANTONIO"/>
    <s v="EFIS"/>
    <s v="NQN"/>
    <s v="1016733"/>
    <s v="Maintenance"/>
    <x v="1"/>
    <m/>
    <m/>
    <m/>
    <m/>
    <m/>
    <s v="Headcount"/>
    <m/>
    <x v="0"/>
  </r>
  <r>
    <x v="28"/>
    <s v="255190"/>
    <x v="116"/>
    <s v="Mtto Mecánico LBAS"/>
    <s v="Relevomantenimiento"/>
    <s v="BECHARA, LUCAS ANTONIO"/>
    <s v="EFIS"/>
    <s v="NQN"/>
    <s v="1016733"/>
    <s v="Maintenance"/>
    <x v="1"/>
    <m/>
    <m/>
    <m/>
    <m/>
    <m/>
    <s v="Headcount"/>
    <m/>
    <x v="0"/>
  </r>
  <r>
    <x v="29"/>
    <s v="254829"/>
    <x v="117"/>
    <s v="Soldadura LBAS"/>
    <s v="Cuadrillasoldadura-CañistaO&amp;M"/>
    <s v="BECHARA, LUCAS ANTONIO"/>
    <s v="EFIS"/>
    <s v="NQN"/>
    <s v="1016733"/>
    <s v="Maintenance"/>
    <x v="1"/>
    <m/>
    <m/>
    <m/>
    <m/>
    <m/>
    <s v="Headcount"/>
    <m/>
    <x v="0"/>
  </r>
  <r>
    <x v="29"/>
    <s v="255692"/>
    <x v="118"/>
    <s v="Soldadura LBAS"/>
    <s v="Cuadrillasoldadura-SoldadorO&amp;M"/>
    <s v="BECHARA, LUCAS ANTONIO"/>
    <s v="EFIS"/>
    <s v="NQN"/>
    <s v="1016733"/>
    <s v="Maintenance"/>
    <x v="1"/>
    <m/>
    <m/>
    <m/>
    <m/>
    <m/>
    <s v="Headcount"/>
    <m/>
    <x v="0"/>
  </r>
  <r>
    <x v="29"/>
    <s v="255228"/>
    <x v="119"/>
    <s v="Soldadura LBAS"/>
    <s v="Cuadrillasoldadura-SoldadorO&amp;M"/>
    <s v="BECHARA, LUCAS ANTONIO"/>
    <s v="EFIS"/>
    <s v="NQN"/>
    <s v="1016733"/>
    <s v="Maintenance"/>
    <x v="1"/>
    <m/>
    <m/>
    <m/>
    <m/>
    <m/>
    <s v="Headcount"/>
    <m/>
    <x v="0"/>
  </r>
  <r>
    <x v="30"/>
    <s v="263288"/>
    <x v="120"/>
    <s v="Soldadura FP"/>
    <s v="Cuadrillasoldadura-SoldadorO&amp;M"/>
    <s v="CORDOVA, DANIELA / ALTAMIRANDA, LEANDRO"/>
    <s v="EFIS"/>
    <s v="NQN"/>
    <s v="1016733"/>
    <s v="Maintenance"/>
    <x v="1"/>
    <m/>
    <m/>
    <m/>
    <m/>
    <m/>
    <s v="Headcount"/>
    <m/>
    <x v="0"/>
  </r>
  <r>
    <x v="31"/>
    <s v="255084"/>
    <x v="121"/>
    <s v="Oper. PTA SALA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31"/>
    <s v="255114"/>
    <x v="122"/>
    <s v="Oper. PTA SALA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31"/>
    <s v="254988"/>
    <x v="123"/>
    <s v="Oper. PTA SALA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31"/>
    <s v="255031"/>
    <x v="124"/>
    <s v="Oper. PTA SALA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31"/>
    <s v="254855"/>
    <x v="125"/>
    <s v="Oper. PTA SALA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31"/>
    <s v="255163"/>
    <x v="126"/>
    <s v="Oper. PTA SALA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31"/>
    <s v="254883"/>
    <x v="127"/>
    <s v="Oper. PTA SALA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31"/>
    <s v="255127"/>
    <x v="128"/>
    <s v="Oper. PTA SALA"/>
    <s v="OperadordePlantaconvencional"/>
    <s v="BECHARA, LUCAS ANTONIO"/>
    <s v="EFIS"/>
    <s v="NQN"/>
    <s v="1016735"/>
    <s v="Operations"/>
    <x v="1"/>
    <m/>
    <m/>
    <m/>
    <m/>
    <m/>
    <s v="Headcount"/>
    <m/>
    <x v="0"/>
  </r>
  <r>
    <x v="32"/>
    <s v="254764"/>
    <x v="129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3"/>
    <s v="254871"/>
    <x v="130"/>
    <s v="Tareas Generales Prod SALA"/>
    <s v="Tareasgenerales"/>
    <s v="BECHARA, LUCAS ANTONIO"/>
    <s v="EFIS"/>
    <s v="NQN"/>
    <s v="1016735"/>
    <s v="Operations"/>
    <x v="1"/>
    <m/>
    <m/>
    <m/>
    <m/>
    <m/>
    <s v="Headcount"/>
    <m/>
    <x v="0"/>
  </r>
  <r>
    <x v="33"/>
    <s v="255208"/>
    <x v="131"/>
    <s v="Tareas Generales Prod SALA"/>
    <s v="Tareasgenerales"/>
    <s v="BECHARA, LUCAS ANTONIO"/>
    <s v="EFIS"/>
    <s v="NQN"/>
    <s v="1016735"/>
    <s v="Operations"/>
    <x v="1"/>
    <m/>
    <m/>
    <m/>
    <m/>
    <m/>
    <s v="Headcount"/>
    <m/>
    <x v="0"/>
  </r>
  <r>
    <x v="32"/>
    <s v="254867"/>
    <x v="132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5155"/>
    <x v="133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4761"/>
    <x v="134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4839"/>
    <x v="135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4997"/>
    <x v="136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5012"/>
    <x v="137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5687"/>
    <x v="138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5032"/>
    <x v="139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4789"/>
    <x v="140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5095"/>
    <x v="141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5225"/>
    <x v="142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5028"/>
    <x v="143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4991"/>
    <x v="144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4762"/>
    <x v="145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s v="254828"/>
    <x v="146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2"/>
    <m/>
    <x v="147"/>
    <s v="Oper campo SALA"/>
    <s v="OperadordeCampo"/>
    <s v="BECHARA, LUCAS ANTONIO"/>
    <s v="EFIS"/>
    <s v="NQN"/>
    <s v="1016735"/>
    <s v="Operations"/>
    <x v="1"/>
    <m/>
    <m/>
    <m/>
    <m/>
    <m/>
    <s v="Headcount"/>
    <m/>
    <x v="0"/>
  </r>
  <r>
    <x v="34"/>
    <s v="255214"/>
    <x v="148"/>
    <s v="Mtto Instrumentos SALA"/>
    <s v="InstrumentistaConvencional"/>
    <s v="BECHARA, LUCAS ANTONIO"/>
    <s v="EFIS"/>
    <s v="NQN"/>
    <s v="1016733"/>
    <s v="Maintenance"/>
    <x v="1"/>
    <m/>
    <m/>
    <m/>
    <m/>
    <m/>
    <s v="Headcount"/>
    <m/>
    <x v="0"/>
  </r>
  <r>
    <x v="34"/>
    <s v="255079"/>
    <x v="149"/>
    <s v="Mtto Instrumentos SALA"/>
    <s v="InstrumentistaConvencional"/>
    <s v="BECHARA, LUCAS ANTONIO"/>
    <s v="EFIS"/>
    <s v="NQN"/>
    <s v="1016733"/>
    <s v="Maintenance"/>
    <x v="1"/>
    <m/>
    <m/>
    <m/>
    <m/>
    <m/>
    <s v="Headcount"/>
    <m/>
    <x v="0"/>
  </r>
  <r>
    <x v="35"/>
    <s v="254840"/>
    <x v="150"/>
    <s v="Mtto Eléctrico SALA"/>
    <s v="EléctricoConvencional"/>
    <s v="BECHARA, LUCAS ANTONIO"/>
    <s v="EFIS"/>
    <s v="NQN"/>
    <s v="1016733"/>
    <s v="Maintenance"/>
    <x v="1"/>
    <m/>
    <m/>
    <m/>
    <m/>
    <m/>
    <s v="Headcount"/>
    <m/>
    <x v="0"/>
  </r>
  <r>
    <x v="35"/>
    <s v="255076"/>
    <x v="151"/>
    <s v="Mtto Eléctrico SALA"/>
    <s v="EléctricoConvencional"/>
    <s v="BECHARA, LUCAS ANTONIO"/>
    <s v="EFIS"/>
    <s v="NQN"/>
    <s v="1016733"/>
    <s v="Maintenance"/>
    <x v="1"/>
    <m/>
    <m/>
    <m/>
    <m/>
    <m/>
    <s v="Headcount"/>
    <m/>
    <x v="0"/>
  </r>
  <r>
    <x v="36"/>
    <s v="254772"/>
    <x v="152"/>
    <s v="Mtto Mecánico SALA"/>
    <s v="MecánicosASAL"/>
    <s v="BECHARA, LUCAS ANTONIO"/>
    <s v="EFIS"/>
    <s v="NQN"/>
    <s v="1016733"/>
    <s v="Maintenance"/>
    <x v="1"/>
    <m/>
    <m/>
    <m/>
    <m/>
    <m/>
    <s v="Headcount"/>
    <m/>
    <x v="0"/>
  </r>
  <r>
    <x v="36"/>
    <s v="255005"/>
    <x v="153"/>
    <s v="Mtto Mecánico SALA"/>
    <s v="MecánicosASAL"/>
    <s v="BECHARA, LUCAS ANTONIO"/>
    <s v="EFIS"/>
    <s v="NQN"/>
    <s v="1016733"/>
    <s v="Maintenance"/>
    <x v="1"/>
    <m/>
    <m/>
    <m/>
    <m/>
    <m/>
    <s v="Headcount"/>
    <m/>
    <x v="0"/>
  </r>
  <r>
    <x v="35"/>
    <s v="254836"/>
    <x v="154"/>
    <s v="Mtto Eléctrico SALA"/>
    <s v="Relevomantenimiento"/>
    <s v="BECHARA, LUCAS ANTONIO"/>
    <s v="EFIS"/>
    <s v="NQN"/>
    <s v="1016733"/>
    <s v="Maintenance"/>
    <x v="1"/>
    <m/>
    <m/>
    <m/>
    <m/>
    <m/>
    <s v="Headcount"/>
    <m/>
    <x v="0"/>
  </r>
  <r>
    <x v="37"/>
    <s v="255224"/>
    <x v="155"/>
    <s v="Soldadura SALA"/>
    <s v="Cuadrillasoldadura-SoldadorO&amp;M"/>
    <s v="BECHARA, LUCAS ANTONIO"/>
    <s v="EFIS"/>
    <s v="NQN"/>
    <s v="1016733"/>
    <s v="Maintenance"/>
    <x v="1"/>
    <m/>
    <m/>
    <m/>
    <m/>
    <m/>
    <s v="Headcount"/>
    <m/>
    <x v="0"/>
  </r>
  <r>
    <x v="37"/>
    <s v="255103"/>
    <x v="156"/>
    <s v="Soldadura SALA"/>
    <s v="Cuadrillasoldadura-CañistaO&amp;M"/>
    <s v="BECHARA, LUCAS ANTONIO"/>
    <s v="EFIS"/>
    <s v="NQN"/>
    <s v="1016733"/>
    <s v="Maintenance"/>
    <x v="1"/>
    <m/>
    <m/>
    <m/>
    <m/>
    <m/>
    <s v="Headcount"/>
    <m/>
    <x v="0"/>
  </r>
  <r>
    <x v="37"/>
    <s v="254990"/>
    <x v="157"/>
    <s v="Soldadura SALA"/>
    <s v="Cuadrillasoldadura-AmoladorO&amp;M"/>
    <s v="BECHARA, LUCAS ANTONIO"/>
    <s v="EFIS"/>
    <s v="NQN"/>
    <s v="1016733"/>
    <s v="Maintenance"/>
    <x v="1"/>
    <m/>
    <m/>
    <m/>
    <m/>
    <m/>
    <s v="Headcount"/>
    <m/>
    <x v="0"/>
  </r>
  <r>
    <x v="38"/>
    <s v="254781"/>
    <x v="158"/>
    <s v="Oper. EPF FP"/>
    <s v="OperadordeplantaEPF"/>
    <s v="HUARTE, ESTEBAN"/>
    <s v="EFIS"/>
    <s v="NQN"/>
    <s v="1016735"/>
    <s v="Operations"/>
    <x v="1"/>
    <m/>
    <m/>
    <m/>
    <m/>
    <m/>
    <s v="Headcount"/>
    <m/>
    <x v="0"/>
  </r>
  <r>
    <x v="38"/>
    <s v="255142"/>
    <x v="159"/>
    <s v="Oper. EPF FP"/>
    <s v="OperadordeplantaEPF"/>
    <s v="HUARTE, ESTEBAN"/>
    <s v="EFIS"/>
    <s v="NQN"/>
    <s v="1016735"/>
    <s v="Operations"/>
    <x v="1"/>
    <m/>
    <m/>
    <m/>
    <m/>
    <m/>
    <s v="Headcount"/>
    <m/>
    <x v="0"/>
  </r>
  <r>
    <x v="38"/>
    <s v="254901"/>
    <x v="160"/>
    <s v="Oper. EPF FP"/>
    <s v="OperadordeplantaEPF"/>
    <s v="HUARTE, ESTEBAN"/>
    <s v="EFIS"/>
    <s v="NQN"/>
    <s v="1016735"/>
    <s v="Operations"/>
    <x v="1"/>
    <m/>
    <m/>
    <m/>
    <m/>
    <m/>
    <s v="Headcount"/>
    <m/>
    <x v="0"/>
  </r>
  <r>
    <x v="39"/>
    <s v="255111"/>
    <x v="161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38"/>
    <s v="255174"/>
    <x v="162"/>
    <s v="Oper. EPF FP"/>
    <s v="OperadordeplantaEPF"/>
    <s v="HUARTE, ESTEBAN"/>
    <s v="EFIS"/>
    <s v="NQN"/>
    <s v="1016735"/>
    <s v="Operations"/>
    <x v="1"/>
    <m/>
    <m/>
    <m/>
    <m/>
    <m/>
    <s v="Headcount"/>
    <m/>
    <x v="0"/>
  </r>
  <r>
    <x v="38"/>
    <m/>
    <x v="163"/>
    <s v="Oper. EPF FP"/>
    <s v="OperadordeplantaEPF"/>
    <s v="HUARTE, ESTEBAN"/>
    <s v="EFIS"/>
    <s v="NQN"/>
    <s v="1016735"/>
    <s v="Operations"/>
    <x v="1"/>
    <m/>
    <m/>
    <m/>
    <m/>
    <m/>
    <s v="Headcount"/>
    <m/>
    <x v="0"/>
  </r>
  <r>
    <x v="39"/>
    <s v="254777"/>
    <x v="164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38"/>
    <s v="254899"/>
    <x v="165"/>
    <s v="Oper. EPF FP"/>
    <s v="OperadordeplantaEPF"/>
    <s v="HUARTE, ESTEBAN"/>
    <s v="EFIS"/>
    <s v="NQN"/>
    <s v="1016735"/>
    <s v="Operations"/>
    <x v="1"/>
    <m/>
    <m/>
    <m/>
    <m/>
    <m/>
    <s v="Headcount"/>
    <m/>
    <x v="0"/>
  </r>
  <r>
    <x v="38"/>
    <s v="255153"/>
    <x v="166"/>
    <s v="Oper. EPF FP"/>
    <s v="OperadordeplantaEPF"/>
    <s v="HUARTE, ESTEBAN"/>
    <s v="EFIS"/>
    <s v="NQN"/>
    <s v="1016735"/>
    <s v="Operations"/>
    <x v="1"/>
    <m/>
    <m/>
    <m/>
    <m/>
    <m/>
    <s v="Headcount"/>
    <m/>
    <x v="0"/>
  </r>
  <r>
    <x v="39"/>
    <s v="254981"/>
    <x v="167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40"/>
    <s v="255210"/>
    <x v="168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39"/>
    <s v="255170"/>
    <x v="169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39"/>
    <s v="254763"/>
    <x v="170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39"/>
    <s v="255029"/>
    <x v="171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39"/>
    <s v="254992"/>
    <x v="172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39"/>
    <s v="254955"/>
    <x v="173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38"/>
    <s v="255265"/>
    <x v="174"/>
    <s v="Oper. EPF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39"/>
    <m/>
    <x v="175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39"/>
    <s v="255034"/>
    <x v="176"/>
    <s v="Oper. LTS FP"/>
    <s v="OperadorLTS"/>
    <s v="HUARTE, ESTEBAN"/>
    <s v="EFIS"/>
    <s v="NQN"/>
    <s v="1016735"/>
    <s v="Operations"/>
    <x v="1"/>
    <m/>
    <m/>
    <m/>
    <m/>
    <m/>
    <s v="Headcount"/>
    <m/>
    <x v="0"/>
  </r>
  <r>
    <x v="39"/>
    <s v="255080"/>
    <x v="177"/>
    <s v="Oper. LTS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40"/>
    <n v="259477"/>
    <x v="178"/>
    <s v="Oper. PTA FP"/>
    <s v="OperadordeplantaEPF"/>
    <s v="HUARTE, ESTEBAN"/>
    <s v="EFIS"/>
    <s v="NQN"/>
    <s v="1016735"/>
    <s v="Operations"/>
    <x v="1"/>
    <m/>
    <m/>
    <m/>
    <m/>
    <m/>
    <s v="Headcount"/>
    <m/>
    <x v="0"/>
  </r>
  <r>
    <x v="40"/>
    <s v="255266"/>
    <x v="179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40"/>
    <s v="255091"/>
    <x v="180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40"/>
    <s v="254958"/>
    <x v="181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40"/>
    <s v="255154"/>
    <x v="182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40"/>
    <s v="254882"/>
    <x v="183"/>
    <s v="Oper. PTA FP"/>
    <s v="OperadorLTS"/>
    <s v="HUARTE, ESTEBAN"/>
    <s v="EFIS"/>
    <s v="NQN"/>
    <s v="1016735"/>
    <s v="Operations"/>
    <x v="1"/>
    <m/>
    <m/>
    <m/>
    <m/>
    <m/>
    <s v="Headcount"/>
    <m/>
    <x v="0"/>
  </r>
  <r>
    <x v="40"/>
    <s v="254758"/>
    <x v="184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40"/>
    <s v="254897"/>
    <x v="185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40"/>
    <s v="254774"/>
    <x v="186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40"/>
    <s v="255184"/>
    <x v="187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40"/>
    <s v="255205"/>
    <x v="188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38"/>
    <s v="255093"/>
    <x v="189"/>
    <s v="Oper. EPF FP"/>
    <s v="OperadordeplantaEPF"/>
    <s v="HUARTE, ESTEBAN"/>
    <s v="EFIS"/>
    <s v="NQN"/>
    <s v="1016735"/>
    <s v="Operations"/>
    <x v="1"/>
    <m/>
    <m/>
    <m/>
    <m/>
    <m/>
    <s v="Headcount"/>
    <m/>
    <x v="0"/>
  </r>
  <r>
    <x v="40"/>
    <s v="254896"/>
    <x v="190"/>
    <s v="Oper. PTA FP"/>
    <s v="OperadordePlantadeAguaCPF"/>
    <s v="HUARTE, ESTEBAN"/>
    <s v="EFIS"/>
    <s v="NQN"/>
    <s v="1016735"/>
    <s v="Operations"/>
    <x v="1"/>
    <m/>
    <m/>
    <m/>
    <m/>
    <m/>
    <s v="Headcount"/>
    <m/>
    <x v="0"/>
  </r>
  <r>
    <x v="16"/>
    <m/>
    <x v="191"/>
    <s v="Oper. Planta Compresión FP"/>
    <s v="OperadordeCompresiónPlanta"/>
    <s v="HUARTE, ESTEBAN"/>
    <s v="EFIS"/>
    <s v="NQN"/>
    <m/>
    <s v="Operations"/>
    <x v="1"/>
    <m/>
    <m/>
    <m/>
    <m/>
    <m/>
    <s v="Headcount"/>
    <m/>
    <x v="0"/>
  </r>
  <r>
    <x v="12"/>
    <m/>
    <x v="192"/>
    <s v="Supervisores Mtto"/>
    <s v="Supervisoroperativo/Producción"/>
    <s v="Segura Alejandro"/>
    <s v="EFIS"/>
    <s v="NQN"/>
    <s v="1010274"/>
    <s v="Maintenance TLM"/>
    <x v="0"/>
    <m/>
    <m/>
    <m/>
    <m/>
    <m/>
    <s v="Headcount"/>
    <m/>
    <x v="2"/>
  </r>
  <r>
    <x v="16"/>
    <s v="255202"/>
    <x v="193"/>
    <s v="Oper. Planta Compresión FP"/>
    <s v="OperadordeCompresiónPlanta"/>
    <s v="HUARTE, ESTEBAN"/>
    <s v="EFIS"/>
    <s v="NQN"/>
    <s v="1016735"/>
    <s v="Operations"/>
    <x v="1"/>
    <m/>
    <m/>
    <m/>
    <m/>
    <m/>
    <s v="Headcount"/>
    <m/>
    <x v="0"/>
  </r>
  <r>
    <x v="16"/>
    <m/>
    <x v="194"/>
    <s v="Oper. Planta Compresión FP"/>
    <s v="OperadordeCompresiónPlanta"/>
    <s v="HUARTE, ESTEBAN"/>
    <s v="EFIS"/>
    <s v="NQN"/>
    <m/>
    <s v="Operations"/>
    <x v="1"/>
    <m/>
    <m/>
    <m/>
    <m/>
    <m/>
    <s v="Headcount"/>
    <m/>
    <x v="0"/>
  </r>
  <r>
    <x v="16"/>
    <s v="255167"/>
    <x v="195"/>
    <s v="Oper. Planta Compresión FP"/>
    <s v="OperadordeCompresiónPlanta"/>
    <s v="HUARTE, ESTEBAN"/>
    <s v="EFIS"/>
    <s v="NQN"/>
    <s v="1016735"/>
    <s v="Operations"/>
    <x v="1"/>
    <m/>
    <m/>
    <m/>
    <m/>
    <m/>
    <s v="Headcount"/>
    <m/>
    <x v="0"/>
  </r>
  <r>
    <x v="16"/>
    <m/>
    <x v="196"/>
    <s v="Oper. Planta Compresión FP"/>
    <s v="OperadordeCompresiónPlanta"/>
    <s v="HUARTE, ESTEBAN"/>
    <s v="EFIS"/>
    <s v="NQN"/>
    <m/>
    <s v="Operations"/>
    <x v="1"/>
    <m/>
    <m/>
    <m/>
    <m/>
    <m/>
    <s v="Headcount"/>
    <m/>
    <x v="0"/>
  </r>
  <r>
    <x v="16"/>
    <m/>
    <x v="197"/>
    <s v="Oper. Planta Compresión FP"/>
    <s v="OperadordeCompresiónPlanta"/>
    <s v="HUARTE, ESTEBAN"/>
    <s v="EFIS"/>
    <s v="NQN"/>
    <m/>
    <s v="Operations"/>
    <x v="1"/>
    <m/>
    <m/>
    <m/>
    <m/>
    <m/>
    <s v="Headcount"/>
    <m/>
    <x v="0"/>
  </r>
  <r>
    <x v="16"/>
    <s v="255201"/>
    <x v="198"/>
    <s v="Oper. Planta Compresión FP"/>
    <s v="OperadordeCompresiónPlanta"/>
    <s v="HUARTE, ESTEBAN"/>
    <s v="EFIS"/>
    <s v="NQN"/>
    <s v="1016735"/>
    <s v="Operations"/>
    <x v="1"/>
    <m/>
    <m/>
    <m/>
    <m/>
    <m/>
    <s v="Headcount"/>
    <m/>
    <x v="0"/>
  </r>
  <r>
    <x v="16"/>
    <s v="254750"/>
    <x v="199"/>
    <s v="Oper. Planta Compresión FP"/>
    <s v="OperadordeCompresiónPlanta"/>
    <s v="HUARTE, ESTEBAN"/>
    <s v="EFIS"/>
    <s v="NQN"/>
    <s v="1016735"/>
    <s v="Operations"/>
    <x v="1"/>
    <m/>
    <m/>
    <m/>
    <m/>
    <m/>
    <s v="Headcount"/>
    <m/>
    <x v="0"/>
  </r>
  <r>
    <x v="16"/>
    <n v="257354"/>
    <x v="200"/>
    <s v="Oper. Planta Compresión FP"/>
    <s v="OperadordeCompresiónPlanta"/>
    <s v="HUARTE, ESTEBAN"/>
    <s v="EFIS"/>
    <s v="NQN"/>
    <s v="1016735"/>
    <s v="Operations"/>
    <x v="1"/>
    <m/>
    <m/>
    <m/>
    <m/>
    <m/>
    <s v="Headcount"/>
    <m/>
    <x v="0"/>
  </r>
  <r>
    <x v="41"/>
    <s v="255027"/>
    <x v="201"/>
    <s v="Tareas Generales Mtto FP"/>
    <s v="Tareasgenerales"/>
    <s v="CORDOVA, DANIELA / ALTAMIRANDA, LEANDRO"/>
    <s v="EFIS"/>
    <s v="NQN"/>
    <s v="1016735"/>
    <s v="Operations"/>
    <x v="1"/>
    <m/>
    <m/>
    <m/>
    <m/>
    <m/>
    <s v="Headcount"/>
    <m/>
    <x v="0"/>
  </r>
  <r>
    <x v="42"/>
    <m/>
    <x v="202"/>
    <s v="Tareas Generales Planta FP"/>
    <s v="Serviciosgenerales"/>
    <s v="HUARTE, ESTEBAN"/>
    <s v="EFIS"/>
    <s v="NQN"/>
    <s v="1016735"/>
    <s v="Operations"/>
    <x v="1"/>
    <m/>
    <m/>
    <m/>
    <m/>
    <m/>
    <s v="Headcount"/>
    <m/>
    <x v="0"/>
  </r>
  <r>
    <x v="42"/>
    <m/>
    <x v="203"/>
    <s v="Tareas Generales Planta FP"/>
    <s v="Serviciosgenerales"/>
    <s v="HUARTE, ESTEBAN"/>
    <s v="EFIS"/>
    <s v="NQN"/>
    <s v="1016735"/>
    <s v="Operations"/>
    <x v="1"/>
    <m/>
    <m/>
    <m/>
    <m/>
    <m/>
    <s v="Headcount"/>
    <m/>
    <x v="0"/>
  </r>
  <r>
    <x v="42"/>
    <n v="259811"/>
    <x v="204"/>
    <s v="Tareas Generales Planta FP"/>
    <s v="Serviciosgenerales"/>
    <s v="HUARTE, ESTEBAN"/>
    <s v="EFIS"/>
    <s v="NQN"/>
    <s v="1016735"/>
    <s v="Operations"/>
    <x v="1"/>
    <m/>
    <m/>
    <m/>
    <m/>
    <m/>
    <s v="Headcount"/>
    <m/>
    <x v="0"/>
  </r>
  <r>
    <x v="43"/>
    <s v="255025"/>
    <x v="205"/>
    <s v="Chofer FP"/>
    <s v="Choferes/Logística"/>
    <s v="CASAL, GUSTAVO"/>
    <s v="EFIS"/>
    <s v="NQN"/>
    <s v="1010274"/>
    <s v="Maintenance"/>
    <x v="1"/>
    <m/>
    <m/>
    <m/>
    <m/>
    <m/>
    <s v="Headcount"/>
    <m/>
    <x v="0"/>
  </r>
  <r>
    <x v="43"/>
    <s v="255085"/>
    <x v="206"/>
    <s v="Chofer FP"/>
    <s v="Choferes/Logística"/>
    <s v="CASAL, GUSTAVO"/>
    <s v="EFIS"/>
    <s v="NQN"/>
    <s v="1010274"/>
    <s v="Maintenance"/>
    <x v="1"/>
    <m/>
    <m/>
    <m/>
    <m/>
    <m/>
    <s v="Headcount"/>
    <m/>
    <x v="0"/>
  </r>
  <r>
    <x v="44"/>
    <s v="261780"/>
    <x v="207"/>
    <s v="Mecánicos de flota TLM"/>
    <s v="Mecánicos,engraseyflota"/>
    <s v="CASAL, GUSTAVO"/>
    <s v="EFIS"/>
    <s v="NQN"/>
    <s v="1010274"/>
    <s v="General Services TLM"/>
    <x v="1"/>
    <m/>
    <m/>
    <m/>
    <m/>
    <m/>
    <s v="Headcount"/>
    <m/>
    <x v="0"/>
  </r>
  <r>
    <x v="18"/>
    <s v="255196"/>
    <x v="208"/>
    <s v="Mecánicos FP"/>
    <s v="Mecánicos,engraseyflota"/>
    <s v="CASAL, GUSTAVO"/>
    <s v="EFIS"/>
    <s v="NQN"/>
    <s v="1010274"/>
    <s v="General Services"/>
    <x v="1"/>
    <m/>
    <m/>
    <m/>
    <m/>
    <m/>
    <s v="Headcount"/>
    <m/>
    <x v="0"/>
  </r>
  <r>
    <x v="18"/>
    <n v="259467"/>
    <x v="209"/>
    <s v="Mecánicos FP"/>
    <s v="Mecánicos,engraseyflota"/>
    <s v="CASAL, GUSTAVO"/>
    <s v="EFIS"/>
    <s v="NQN"/>
    <s v="1010274"/>
    <s v="General Services"/>
    <x v="1"/>
    <m/>
    <m/>
    <m/>
    <m/>
    <m/>
    <s v="Headcount"/>
    <m/>
    <x v="0"/>
  </r>
  <r>
    <x v="18"/>
    <n v="260263"/>
    <x v="210"/>
    <s v="Mecánicos FP"/>
    <s v="Mecánicos,engraseyflota"/>
    <s v="CASAL, GUSTAVO"/>
    <s v="EFIS"/>
    <s v="NQN"/>
    <s v="1010274"/>
    <s v="General Services"/>
    <x v="1"/>
    <m/>
    <m/>
    <m/>
    <m/>
    <m/>
    <s v="Headcount"/>
    <m/>
    <x v="0"/>
  </r>
  <r>
    <x v="45"/>
    <s v="255030"/>
    <x v="211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4979"/>
    <x v="212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4779"/>
    <x v="213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4994"/>
    <x v="214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4770"/>
    <x v="215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5003"/>
    <x v="216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5112"/>
    <x v="217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4957"/>
    <x v="218"/>
    <s v="Oper campo FP"/>
    <s v="Mecánicos,engraseyflota"/>
    <s v="HUARTE, ESTEBAN"/>
    <s v="EFIS"/>
    <s v="NQN"/>
    <n v="1016735"/>
    <s v="Operations"/>
    <x v="1"/>
    <m/>
    <m/>
    <m/>
    <m/>
    <m/>
    <s v="Headcount"/>
    <m/>
    <x v="0"/>
  </r>
  <r>
    <x v="45"/>
    <s v="255105"/>
    <x v="219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5108"/>
    <x v="220"/>
    <s v="Oper campo FP"/>
    <s v="Relevooperación"/>
    <s v="HUARTE, ESTEBAN"/>
    <s v="EFIS"/>
    <s v="NQN"/>
    <s v="1016735"/>
    <s v="Operations"/>
    <x v="1"/>
    <m/>
    <m/>
    <m/>
    <m/>
    <m/>
    <s v="Headcount"/>
    <m/>
    <x v="0"/>
  </r>
  <r>
    <x v="45"/>
    <s v="254782"/>
    <x v="221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5160"/>
    <x v="222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4773"/>
    <x v="223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5119"/>
    <x v="224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5200"/>
    <x v="225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4778"/>
    <x v="226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5"/>
    <s v="255176"/>
    <x v="227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6"/>
    <s v="255082"/>
    <x v="228"/>
    <s v="Almacenamiento de Agua FP"/>
    <s v="OperadordePlantadeAguaWatertransfer"/>
    <s v="HUARTE, ESTEBAN"/>
    <s v="EFIS"/>
    <s v="NQN"/>
    <s v="1016735"/>
    <s v="Operations"/>
    <x v="1"/>
    <m/>
    <m/>
    <m/>
    <m/>
    <m/>
    <s v="Headcount"/>
    <m/>
    <x v="0"/>
  </r>
  <r>
    <x v="46"/>
    <s v="254989"/>
    <x v="229"/>
    <s v="Almacenamiento de Agua FP"/>
    <s v="OperadordePlantadeAguaWatertransfer"/>
    <s v="HUARTE, ESTEBAN"/>
    <s v="EFIS"/>
    <s v="NQN"/>
    <s v="1016735"/>
    <s v="Operations"/>
    <x v="1"/>
    <m/>
    <m/>
    <m/>
    <m/>
    <m/>
    <s v="Headcount"/>
    <m/>
    <x v="0"/>
  </r>
  <r>
    <x v="46"/>
    <s v="255106"/>
    <x v="230"/>
    <s v="Almacenamiento de Agua FP"/>
    <s v="OperadordePlantadeAguaWatertransfer"/>
    <s v="HUARTE, ESTEBAN"/>
    <s v="EFIS"/>
    <s v="NQN"/>
    <s v="1016735"/>
    <s v="Operations"/>
    <x v="1"/>
    <m/>
    <m/>
    <m/>
    <m/>
    <m/>
    <s v="Headcount"/>
    <m/>
    <x v="0"/>
  </r>
  <r>
    <x v="46"/>
    <s v="255088"/>
    <x v="231"/>
    <s v="Almacenamiento de Agua FP"/>
    <s v="OperadordePlantadeAguaWatertransfer"/>
    <s v="HUARTE, ESTEBAN"/>
    <s v="EFIS"/>
    <s v="NQN"/>
    <s v="1016735"/>
    <s v="Operations"/>
    <x v="1"/>
    <m/>
    <m/>
    <m/>
    <m/>
    <m/>
    <s v="Headcount"/>
    <m/>
    <x v="0"/>
  </r>
  <r>
    <x v="46"/>
    <s v="254895"/>
    <x v="232"/>
    <s v="Almacenamiento de Agua FP"/>
    <s v="OperadordePlantadeAguaWatertransfer"/>
    <s v="HUARTE, ESTEBAN"/>
    <s v="EFIS"/>
    <s v="NQN"/>
    <s v="1016735"/>
    <s v="Operations"/>
    <x v="1"/>
    <m/>
    <m/>
    <m/>
    <m/>
    <m/>
    <s v="Headcount"/>
    <m/>
    <x v="0"/>
  </r>
  <r>
    <x v="47"/>
    <s v="255250"/>
    <x v="233"/>
    <s v="Oper Well Services FP"/>
    <s v="WellServices"/>
    <s v="MACIAS, OSCAR  / SAFFE, JULIAN"/>
    <s v="EFIS"/>
    <s v="NQN"/>
    <s v="1016735"/>
    <s v="Operations"/>
    <x v="1"/>
    <m/>
    <m/>
    <m/>
    <m/>
    <m/>
    <s v="Headcount"/>
    <m/>
    <x v="0"/>
  </r>
  <r>
    <x v="47"/>
    <s v="255817"/>
    <x v="234"/>
    <s v="Oper Well Services FP"/>
    <s v="WellServices"/>
    <s v="MACIAS, OSCAR  / SAFFE, JULIAN"/>
    <s v="EFIS"/>
    <s v="NQN"/>
    <s v="1016735"/>
    <s v="Operations"/>
    <x v="1"/>
    <m/>
    <m/>
    <m/>
    <m/>
    <m/>
    <s v="Headcount"/>
    <m/>
    <x v="0"/>
  </r>
  <r>
    <x v="47"/>
    <s v="255261"/>
    <x v="235"/>
    <s v="Oper Well Services FP"/>
    <s v="WellServices"/>
    <s v="MACIAS, OSCAR  / SAFFE, JULIAN"/>
    <s v="EFIS"/>
    <s v="NQN"/>
    <s v="1016735"/>
    <s v="Operations"/>
    <x v="1"/>
    <m/>
    <m/>
    <m/>
    <m/>
    <m/>
    <s v="Headcount"/>
    <m/>
    <x v="0"/>
  </r>
  <r>
    <x v="47"/>
    <s v="255189"/>
    <x v="236"/>
    <s v="Oper Well Services FP"/>
    <s v="WellServices"/>
    <s v="MACIAS, OSCAR  / SAFFE, JULIAN"/>
    <s v="EFIS"/>
    <s v="NQN"/>
    <s v="1016735"/>
    <s v="Operations"/>
    <x v="1"/>
    <m/>
    <m/>
    <m/>
    <m/>
    <m/>
    <s v="Headcount"/>
    <m/>
    <x v="0"/>
  </r>
  <r>
    <x v="47"/>
    <s v="255156"/>
    <x v="237"/>
    <s v="Oper Well Services FP"/>
    <s v="WellServices"/>
    <s v="MACIAS, OSCAR  / SAFFE, JULIAN"/>
    <s v="EFIS"/>
    <s v="NQN"/>
    <s v="1016735"/>
    <s v="Operations"/>
    <x v="1"/>
    <m/>
    <m/>
    <m/>
    <m/>
    <m/>
    <s v="Headcount"/>
    <m/>
    <x v="0"/>
  </r>
  <r>
    <x v="47"/>
    <s v="255130"/>
    <x v="238"/>
    <s v="Oper Well Services FP"/>
    <s v="WellServices"/>
    <s v="MACIAS, OSCAR  / SAFFE, JULIAN"/>
    <s v="EFIS"/>
    <s v="NQN"/>
    <s v="1016735"/>
    <s v="Operations"/>
    <x v="1"/>
    <m/>
    <m/>
    <m/>
    <m/>
    <m/>
    <s v="Headcount"/>
    <m/>
    <x v="0"/>
  </r>
  <r>
    <x v="47"/>
    <s v="255164"/>
    <x v="239"/>
    <s v="Oper Well Services FP"/>
    <s v="WellServicesDesfogue"/>
    <s v="MACIAS, OSCAR  / SAFFE, JULIAN"/>
    <s v="EFIS"/>
    <s v="NQN"/>
    <s v="1016735"/>
    <s v="Operations"/>
    <x v="1"/>
    <m/>
    <m/>
    <m/>
    <m/>
    <m/>
    <s v="Headcount"/>
    <m/>
    <x v="0"/>
  </r>
  <r>
    <x v="48"/>
    <s v="254998"/>
    <x v="240"/>
    <s v="Mtto Instrumentos FP"/>
    <s v="Instrumentista"/>
    <s v="CORDOVA, DANIELA / ALTAMIRANDA, LEANDRO"/>
    <s v="EFIS"/>
    <s v="NQN"/>
    <s v="1016733"/>
    <s v="Maintenance"/>
    <x v="1"/>
    <m/>
    <m/>
    <m/>
    <m/>
    <m/>
    <s v="Headcount"/>
    <m/>
    <x v="0"/>
  </r>
  <r>
    <x v="48"/>
    <s v="254889"/>
    <x v="241"/>
    <s v="Mtto Instrumentos FP"/>
    <s v="Instrumentista"/>
    <s v="CORDOVA, DANIELA / ALTAMIRANDA, LEANDRO"/>
    <s v="EFIS"/>
    <s v="NQN"/>
    <s v="1016733"/>
    <s v="Maintenance"/>
    <x v="1"/>
    <m/>
    <m/>
    <m/>
    <m/>
    <m/>
    <s v="Headcount"/>
    <m/>
    <x v="0"/>
  </r>
  <r>
    <x v="45"/>
    <s v="254993"/>
    <x v="242"/>
    <s v="Oper campo FP"/>
    <s v="OperadordeCampo"/>
    <s v="HUARTE, ESTEBAN"/>
    <s v="EFIS"/>
    <s v="NQN"/>
    <s v="1016735"/>
    <s v="Operations"/>
    <x v="1"/>
    <m/>
    <m/>
    <m/>
    <m/>
    <m/>
    <s v="Headcount"/>
    <m/>
    <x v="0"/>
  </r>
  <r>
    <x v="48"/>
    <s v="254959"/>
    <x v="243"/>
    <s v="Mtto Instrumentos FP"/>
    <s v="Instrumentista"/>
    <s v="CORDOVA, DANIELA / ALTAMIRANDA, LEANDRO"/>
    <s v="EFIS"/>
    <s v="NQN"/>
    <s v="1016733"/>
    <s v="Maintenance"/>
    <x v="1"/>
    <m/>
    <m/>
    <m/>
    <m/>
    <m/>
    <s v="Headcount"/>
    <m/>
    <x v="0"/>
  </r>
  <r>
    <x v="48"/>
    <s v="255199"/>
    <x v="241"/>
    <s v="Mtto Instrumentos FP"/>
    <s v="Instrumentista"/>
    <s v="CORDOVA, DANIELA / ALTAMIRANDA, LEANDRO"/>
    <s v="EFIS"/>
    <s v="NQN"/>
    <s v="1016733"/>
    <s v="Maintenance"/>
    <x v="1"/>
    <m/>
    <m/>
    <m/>
    <m/>
    <m/>
    <s v="Headcount"/>
    <m/>
    <x v="0"/>
  </r>
  <r>
    <x v="48"/>
    <s v="255198"/>
    <x v="244"/>
    <s v="Mtto Instrumentos FP"/>
    <s v="Instrumentista"/>
    <s v="CORDOVA, DANIELA / ALTAMIRANDA, LEANDRO"/>
    <s v="EFIS"/>
    <s v="NQN"/>
    <s v="1016733"/>
    <s v="Maintenance"/>
    <x v="1"/>
    <m/>
    <m/>
    <m/>
    <m/>
    <m/>
    <s v="Headcount"/>
    <m/>
    <x v="0"/>
  </r>
  <r>
    <x v="48"/>
    <s v="254969"/>
    <x v="241"/>
    <s v="Mtto Instrumentos FP"/>
    <s v="Instrumentista"/>
    <s v="CORDOVA, DANIELA / ALTAMIRANDA, LEANDRO"/>
    <s v="EFIS"/>
    <s v="NQN"/>
    <s v="1016733"/>
    <s v="Maintenance"/>
    <x v="1"/>
    <m/>
    <m/>
    <m/>
    <m/>
    <m/>
    <s v="Headcount"/>
    <m/>
    <x v="0"/>
  </r>
  <r>
    <x v="48"/>
    <s v="254865"/>
    <x v="245"/>
    <s v="Mtto Instrumentos FP"/>
    <s v="Instrumentista"/>
    <s v="CORDOVA, DANIELA / ALTAMIRANDA, LEANDRO"/>
    <s v="EFIS"/>
    <s v="NQN"/>
    <s v="1016733"/>
    <s v="Maintenance"/>
    <x v="1"/>
    <m/>
    <m/>
    <m/>
    <m/>
    <m/>
    <s v="Headcount"/>
    <m/>
    <x v="0"/>
  </r>
  <r>
    <x v="48"/>
    <m/>
    <x v="246"/>
    <s v="Mtto Instrumentos FP"/>
    <s v="Relevomantenimiento"/>
    <s v="CORDOVA, DANIELA / ALTAMIRANDA, LEANDRO"/>
    <s v="EFIS"/>
    <s v="NQN"/>
    <s v="1016733"/>
    <s v="Maintenance"/>
    <x v="1"/>
    <m/>
    <m/>
    <m/>
    <m/>
    <m/>
    <s v="Headcount"/>
    <m/>
    <x v="0"/>
  </r>
  <r>
    <x v="49"/>
    <s v="255146"/>
    <x v="247"/>
    <s v="Mtto Eléctrico FP"/>
    <s v="Eléctrico"/>
    <s v="CORDOVA, DANIELA / ALTAMIRANDA, LEANDRO"/>
    <s v="EFIS"/>
    <s v="NQN"/>
    <s v="1016733"/>
    <s v="Maintenance"/>
    <x v="1"/>
    <m/>
    <m/>
    <m/>
    <m/>
    <m/>
    <s v="Headcount"/>
    <m/>
    <x v="0"/>
  </r>
  <r>
    <x v="49"/>
    <s v="255147"/>
    <x v="248"/>
    <s v="Mtto Eléctrico FP"/>
    <s v="Eléctrico"/>
    <s v="CORDOVA, DANIELA / ALTAMIRANDA, LEANDRO"/>
    <s v="EFIS"/>
    <s v="NQN"/>
    <s v="1016733"/>
    <s v="Maintenance"/>
    <x v="1"/>
    <m/>
    <m/>
    <m/>
    <m/>
    <m/>
    <s v="Headcount"/>
    <m/>
    <x v="0"/>
  </r>
  <r>
    <x v="49"/>
    <s v="254886"/>
    <x v="249"/>
    <s v="Mtto Eléctrico FP"/>
    <s v="Eléctrico"/>
    <s v="CORDOVA, DANIELA / ALTAMIRANDA, LEANDRO"/>
    <s v="EFIS"/>
    <s v="NQN"/>
    <s v="1016733"/>
    <s v="Maintenance"/>
    <x v="1"/>
    <m/>
    <m/>
    <m/>
    <m/>
    <m/>
    <s v="Headcount"/>
    <m/>
    <x v="0"/>
  </r>
  <r>
    <x v="49"/>
    <s v="254802"/>
    <x v="250"/>
    <s v="Mtto Eléctrico FP"/>
    <s v="Eléctrico"/>
    <s v="CORDOVA, DANIELA / ALTAMIRANDA, LEANDRO"/>
    <s v="EFIS"/>
    <s v="NQN"/>
    <s v="1016733"/>
    <s v="Maintenance"/>
    <x v="1"/>
    <m/>
    <m/>
    <m/>
    <m/>
    <m/>
    <s v="Headcount"/>
    <m/>
    <x v="0"/>
  </r>
  <r>
    <x v="4"/>
    <s v="254846"/>
    <x v="251"/>
    <s v="Mtto Mecánico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4"/>
    <s v="255140"/>
    <x v="251"/>
    <s v="Mtto Mecánico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4"/>
    <s v="254885"/>
    <x v="252"/>
    <s v="Mtto Mecánico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4"/>
    <s v="255197"/>
    <x v="251"/>
    <s v="Mtto Mecánico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4"/>
    <s v="254825"/>
    <x v="253"/>
    <s v="Mtto Mecánico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4"/>
    <s v="255191"/>
    <x v="251"/>
    <s v="Mtto Mecánico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4"/>
    <s v="255122"/>
    <x v="254"/>
    <s v="Mtto Mecánico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4"/>
    <s v="255131"/>
    <x v="255"/>
    <s v="Mtto Mecánico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4"/>
    <s v="254832"/>
    <x v="256"/>
    <s v="Mtto Mecánico FP"/>
    <s v="Relevomantenimiento"/>
    <s v="CORDOVA, DANIELA / ALTAMIRANDA, LEANDRO"/>
    <s v="EFIS"/>
    <s v="NQN"/>
    <s v="1016733"/>
    <s v="Maintenance"/>
    <x v="1"/>
    <m/>
    <m/>
    <m/>
    <m/>
    <m/>
    <s v="Headcount"/>
    <m/>
    <x v="0"/>
  </r>
  <r>
    <x v="30"/>
    <s v="254878"/>
    <x v="257"/>
    <s v="Soldadura FP"/>
    <s v="Cuadrillasoldadura-CañistaO&amp;M"/>
    <s v="CORDOVA, DANIELA / ALTAMIRANDA, LEANDRO"/>
    <s v="EFIS"/>
    <s v="NQN"/>
    <s v="1016733"/>
    <s v="Maintenance"/>
    <x v="1"/>
    <m/>
    <m/>
    <m/>
    <m/>
    <m/>
    <s v="Headcount"/>
    <m/>
    <x v="0"/>
  </r>
  <r>
    <x v="30"/>
    <s v="255077"/>
    <x v="258"/>
    <s v="Soldadura FP"/>
    <s v="Cuadrillasoldadura-SoldadorO&amp;M"/>
    <s v="CORDOVA, DANIELA / ALTAMIRANDA, LEANDRO"/>
    <s v="EFIS"/>
    <s v="NQN"/>
    <s v="1016733"/>
    <s v="Maintenance"/>
    <x v="1"/>
    <m/>
    <m/>
    <m/>
    <m/>
    <m/>
    <s v="Headcount"/>
    <m/>
    <x v="0"/>
  </r>
  <r>
    <x v="30"/>
    <s v="255219"/>
    <x v="259"/>
    <s v="Soldadura FP"/>
    <s v="Cuadrillasoldadura-AmoladorO&amp;M"/>
    <s v="CORDOVA, DANIELA / ALTAMIRANDA, LEANDRO"/>
    <s v="EFIS"/>
    <s v="NQN"/>
    <s v="1016733"/>
    <s v="Maintenance"/>
    <x v="1"/>
    <m/>
    <m/>
    <m/>
    <m/>
    <m/>
    <s v="Headcount"/>
    <m/>
    <x v="0"/>
  </r>
  <r>
    <x v="30"/>
    <s v="237895"/>
    <x v="260"/>
    <s v="Soldadura FP"/>
    <s v="Cuadrillasoldadura-CañistaO&amp;M"/>
    <s v="CORDOVA, DANIELA / ALTAMIRANDA, LEANDRO"/>
    <s v="EFIS"/>
    <s v="NQN"/>
    <s v="1016733"/>
    <s v="Maintenance"/>
    <x v="1"/>
    <m/>
    <m/>
    <m/>
    <m/>
    <m/>
    <s v="Headcount"/>
    <m/>
    <x v="0"/>
  </r>
  <r>
    <x v="30"/>
    <s v="255144"/>
    <x v="261"/>
    <s v="Soldadura FP"/>
    <s v="Cuadrillasoldadura-SoldadorO&amp;M"/>
    <s v="CORDOVA, DANIELA / ALTAMIRANDA, LEANDRO"/>
    <s v="EFIS"/>
    <s v="NQN"/>
    <s v="1016733"/>
    <s v="Maintenance"/>
    <x v="1"/>
    <m/>
    <m/>
    <m/>
    <m/>
    <m/>
    <s v="Headcount"/>
    <m/>
    <x v="0"/>
  </r>
  <r>
    <x v="30"/>
    <s v="254956"/>
    <x v="262"/>
    <s v="Soldadura FP"/>
    <s v="Cuadrillasoldadura-AmoladorO&amp;M"/>
    <s v="CORDOVA, DANIELA / ALTAMIRANDA, LEANDRO"/>
    <s v="EFIS"/>
    <s v="NQN"/>
    <s v="1016733"/>
    <s v="Maintenance"/>
    <x v="1"/>
    <m/>
    <m/>
    <m/>
    <m/>
    <m/>
    <s v="Headcount"/>
    <m/>
    <x v="0"/>
  </r>
  <r>
    <x v="50"/>
    <s v="254894"/>
    <x v="263"/>
    <s v="Compresión FP"/>
    <s v="MecánicosCompresión"/>
    <s v="CORDOVA, DANIELA / ALTAMIRANDA, LEANDRO"/>
    <s v="EFIS"/>
    <s v="NQN"/>
    <s v="1016733"/>
    <s v="Maintenance"/>
    <x v="1"/>
    <m/>
    <m/>
    <m/>
    <m/>
    <m/>
    <s v="Headcount"/>
    <m/>
    <x v="0"/>
  </r>
  <r>
    <x v="50"/>
    <m/>
    <x v="264"/>
    <s v="Compresión FP"/>
    <s v="Instrumentista"/>
    <s v="CORDOVA, DANIELA / ALTAMIRANDA, LEANDRO"/>
    <s v="EFIS"/>
    <s v="NQN"/>
    <s v="1016733"/>
    <s v="Maintenance"/>
    <x v="1"/>
    <m/>
    <m/>
    <m/>
    <m/>
    <m/>
    <s v="Headcount"/>
    <m/>
    <x v="0"/>
  </r>
  <r>
    <x v="50"/>
    <n v="255269"/>
    <x v="265"/>
    <s v="Compresión FP"/>
    <s v="MecánicosCompresión"/>
    <s v="CORDOVA, DANIELA / ALTAMIRANDA, LEANDRO"/>
    <s v="EFIS"/>
    <s v="NQN"/>
    <s v="1016733"/>
    <s v="Maintenance"/>
    <x v="1"/>
    <m/>
    <m/>
    <m/>
    <m/>
    <m/>
    <s v="Headcount"/>
    <m/>
    <x v="0"/>
  </r>
  <r>
    <x v="50"/>
    <s v="254799"/>
    <x v="266"/>
    <s v="Compresión FP"/>
    <s v="MecánicosCompresión"/>
    <s v="CORDOVA, DANIELA / ALTAMIRANDA, LEANDRO"/>
    <s v="EFIS"/>
    <s v="NQN"/>
    <s v="1016733"/>
    <s v="Maintenance"/>
    <x v="1"/>
    <m/>
    <m/>
    <m/>
    <m/>
    <m/>
    <s v="Headcount"/>
    <m/>
    <x v="0"/>
  </r>
  <r>
    <x v="50"/>
    <s v="255204"/>
    <x v="267"/>
    <s v="Compresión FP"/>
    <s v="Relevomantenimiento"/>
    <s v="CORDOVA, DANIELA / ALTAMIRANDA, LEANDRO"/>
    <s v="EFIS"/>
    <s v="NQN"/>
    <s v="1016733"/>
    <s v="Maintenance"/>
    <x v="1"/>
    <m/>
    <m/>
    <m/>
    <m/>
    <m/>
    <s v="Headcount"/>
    <m/>
    <x v="0"/>
  </r>
  <r>
    <x v="41"/>
    <s v="255001"/>
    <x v="268"/>
    <s v="Tareas Generales Mtto FP"/>
    <s v="Tareasgenerales"/>
    <s v="CORDOVA, DANIELA / ALTAMIRANDA, LEANDRO"/>
    <s v="EFIS"/>
    <s v="NQN"/>
    <s v="1016733"/>
    <s v="Maintenance"/>
    <x v="1"/>
    <m/>
    <m/>
    <m/>
    <m/>
    <m/>
    <s v="Headcount"/>
    <m/>
    <x v="0"/>
  </r>
  <r>
    <x v="51"/>
    <s v="255283"/>
    <x v="269"/>
    <s v="Engrase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41"/>
    <s v="254768"/>
    <x v="270"/>
    <s v="Tareas Generales Mtto FP"/>
    <s v="Tareasgenerales"/>
    <s v="CORDOVA, DANIELA / ALTAMIRANDA, LEANDRO"/>
    <s v="EFIS"/>
    <s v="NQN"/>
    <s v="1016733"/>
    <s v="Maintenance"/>
    <x v="1"/>
    <m/>
    <m/>
    <m/>
    <m/>
    <m/>
    <s v="Headcount"/>
    <m/>
    <x v="0"/>
  </r>
  <r>
    <x v="41"/>
    <s v="255192"/>
    <x v="271"/>
    <s v="Tareas Generales Mtto FP"/>
    <s v="Tareasgenerales"/>
    <s v="CORDOVA, DANIELA / ALTAMIRANDA, LEANDRO"/>
    <s v="EFIS"/>
    <s v="NQN"/>
    <s v="1016733"/>
    <s v="Maintenance"/>
    <x v="1"/>
    <m/>
    <m/>
    <m/>
    <m/>
    <m/>
    <s v="Headcount"/>
    <m/>
    <x v="0"/>
  </r>
  <r>
    <x v="41"/>
    <s v="255206"/>
    <x v="272"/>
    <s v="Tareas Generales Mtto FP"/>
    <s v="Relevomantenimiento"/>
    <s v="CORDOVA, DANIELA / ALTAMIRANDA, LEANDRO"/>
    <s v="EFIS"/>
    <s v="NQN"/>
    <s v="1016733"/>
    <s v="Maintenance"/>
    <x v="1"/>
    <m/>
    <m/>
    <m/>
    <m/>
    <m/>
    <s v="Headcount"/>
    <m/>
    <x v="0"/>
  </r>
  <r>
    <x v="52"/>
    <s v="255143"/>
    <x v="273"/>
    <s v="Asistencia a Planta FP"/>
    <s v="AsistenciaaPlantas"/>
    <s v="CORDOVA, DANIELA / ALTAMIRANDA, LEANDRO"/>
    <s v="EFIS"/>
    <s v="NQN"/>
    <s v="1016733"/>
    <s v="Maintenance"/>
    <x v="1"/>
    <m/>
    <m/>
    <m/>
    <m/>
    <m/>
    <s v="Headcount"/>
    <m/>
    <x v="0"/>
  </r>
  <r>
    <x v="52"/>
    <s v="255104"/>
    <x v="274"/>
    <s v="Asistencia a Planta FP"/>
    <s v="AsistenciaaPlantas"/>
    <s v="CORDOVA, DANIELA / ALTAMIRANDA, LEANDRO"/>
    <s v="EFIS"/>
    <s v="NQN"/>
    <s v="1016733"/>
    <s v="Maintenance"/>
    <x v="1"/>
    <m/>
    <m/>
    <m/>
    <m/>
    <m/>
    <s v="Headcount"/>
    <m/>
    <x v="0"/>
  </r>
  <r>
    <x v="52"/>
    <s v="254891"/>
    <x v="275"/>
    <s v="Asistencia a Planta FP"/>
    <s v="AsistenciaaPlantas"/>
    <s v="CORDOVA, DANIELA / ALTAMIRANDA, LEANDRO"/>
    <s v="EFIS"/>
    <s v="NQN"/>
    <s v="1016733"/>
    <s v="Maintenance"/>
    <x v="1"/>
    <m/>
    <m/>
    <m/>
    <m/>
    <m/>
    <s v="Headcount"/>
    <m/>
    <x v="0"/>
  </r>
  <r>
    <x v="52"/>
    <s v="255162"/>
    <x v="276"/>
    <s v="Asistencia a Planta FP"/>
    <s v="AsistenciaaPlantas"/>
    <s v="CORDOVA, DANIELA / ALTAMIRANDA, LEANDRO"/>
    <s v="EFIS"/>
    <s v="NQN"/>
    <s v="1016733"/>
    <s v="Maintenance"/>
    <x v="1"/>
    <m/>
    <m/>
    <m/>
    <m/>
    <m/>
    <s v="Headcount"/>
    <m/>
    <x v="0"/>
  </r>
  <r>
    <x v="53"/>
    <m/>
    <x v="277"/>
    <s v="Mtto Well Services FP"/>
    <s v="Relevomantenimiento"/>
    <s v="MACIAS, OSCAR  / SAFFE, JULIAN"/>
    <s v="EFIS"/>
    <s v="NQN"/>
    <s v="1016733"/>
    <s v="Maintenance"/>
    <x v="1"/>
    <m/>
    <m/>
    <m/>
    <m/>
    <m/>
    <s v="Headcount"/>
    <m/>
    <x v="0"/>
  </r>
  <r>
    <x v="51"/>
    <s v="255110"/>
    <x v="278"/>
    <s v="Engrase FP"/>
    <s v="WellServices"/>
    <s v="CORDOVA, DANIELA / ALTAMIRANDA, LEANDRO"/>
    <s v="EFIS"/>
    <s v="NQN"/>
    <s v="1016733"/>
    <s v="Maintenance"/>
    <x v="1"/>
    <m/>
    <m/>
    <m/>
    <m/>
    <m/>
    <s v="Headcount"/>
    <m/>
    <x v="0"/>
  </r>
  <r>
    <x v="51"/>
    <s v="255107"/>
    <x v="279"/>
    <s v="Engrase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51"/>
    <s v="255099"/>
    <x v="280"/>
    <s v="Engrase FP"/>
    <s v="Mecánicos,engraseyflota"/>
    <s v="CORDOVA, DANIELA / ALTAMIRANDA, LEANDRO"/>
    <s v="EFIS"/>
    <s v="NQN"/>
    <s v="1016733"/>
    <s v="Maintenance"/>
    <x v="1"/>
    <m/>
    <m/>
    <m/>
    <m/>
    <m/>
    <s v="Headcount"/>
    <m/>
    <x v="0"/>
  </r>
  <r>
    <x v="52"/>
    <m/>
    <x v="281"/>
    <s v="Asistencia a Planta FP"/>
    <e v="#N/A"/>
    <s v="CORDOVA, DANIELA / ALTAMIRANDA, LEANDRO"/>
    <s v="EFIS"/>
    <s v="NQN"/>
    <s v="1016733"/>
    <s v="Maintenance"/>
    <x v="1"/>
    <m/>
    <m/>
    <m/>
    <m/>
    <m/>
    <s v="Headcount"/>
    <m/>
    <x v="0"/>
  </r>
  <r>
    <x v="43"/>
    <s v="168223"/>
    <x v="282"/>
    <s v="Chofer FP"/>
    <s v="Choferes/Logística"/>
    <s v="CASAL, GUSTAVO"/>
    <s v="EFIS"/>
    <s v="NQN"/>
    <s v="1016733"/>
    <s v="Maintenance"/>
    <x v="1"/>
    <m/>
    <m/>
    <m/>
    <m/>
    <m/>
    <s v="Headcount"/>
    <m/>
    <x v="0"/>
  </r>
  <r>
    <x v="54"/>
    <s v="255226"/>
    <x v="283"/>
    <s v="Aux. Almacén LBAS"/>
    <s v="AlmacenNoconvencional"/>
    <s v="BECHARA, LUCAS ANTONIO"/>
    <s v="EFIS"/>
    <s v="NQN"/>
    <s v="1016733"/>
    <s v="Warehouse"/>
    <x v="1"/>
    <m/>
    <m/>
    <m/>
    <m/>
    <m/>
    <s v="Headcount"/>
    <m/>
    <x v="0"/>
  </r>
  <r>
    <x v="25"/>
    <s v="255152"/>
    <x v="284"/>
    <s v="Aux. Almacén FP"/>
    <s v="AlmacenNoconvencional"/>
    <s v="CASAL, GUSTAVO"/>
    <s v="EFIS"/>
    <s v="NQN"/>
    <s v="1016733"/>
    <s v="Warehouse"/>
    <x v="1"/>
    <m/>
    <m/>
    <m/>
    <m/>
    <m/>
    <s v="Headcount"/>
    <m/>
    <x v="0"/>
  </r>
  <r>
    <x v="25"/>
    <s v="254996"/>
    <x v="285"/>
    <s v="Aux. Almacén FP"/>
    <s v="AlmacenNoconvencional"/>
    <s v="CASAL, GUSTAVO"/>
    <s v="EFIS"/>
    <s v="NQN"/>
    <s v="1016733"/>
    <s v="Warehouse"/>
    <x v="1"/>
    <m/>
    <m/>
    <m/>
    <m/>
    <m/>
    <s v="Headcount"/>
    <m/>
    <x v="0"/>
  </r>
  <r>
    <x v="25"/>
    <s v="255121"/>
    <x v="286"/>
    <s v="Aux. Almacén FP"/>
    <s v="AlmacenNoconvencional"/>
    <s v="CASAL, GUSTAVO"/>
    <s v="EFIS"/>
    <s v="NQN"/>
    <s v="1016733"/>
    <s v="Warehouse"/>
    <x v="1"/>
    <m/>
    <m/>
    <m/>
    <m/>
    <m/>
    <s v="Headcount"/>
    <m/>
    <x v="0"/>
  </r>
  <r>
    <x v="55"/>
    <s v="254887"/>
    <x v="287"/>
    <s v="Aux. Almacén SALA"/>
    <s v="Almacenconvencional"/>
    <s v="BECHARA, LUCAS ANTONIO"/>
    <s v="EFIS"/>
    <s v="NQN"/>
    <s v="1016733"/>
    <s v="Warehouse"/>
    <x v="1"/>
    <m/>
    <m/>
    <m/>
    <m/>
    <m/>
    <s v="Headcount"/>
    <m/>
    <x v="0"/>
  </r>
  <r>
    <x v="25"/>
    <s v="254978"/>
    <x v="288"/>
    <s v="Aux. Almacén FP"/>
    <s v="AlmacenNoconvencional"/>
    <s v="CASAL, GUSTAVO"/>
    <s v="EFIS"/>
    <s v="NQN"/>
    <s v="1016733"/>
    <s v="Warehouse"/>
    <x v="1"/>
    <m/>
    <m/>
    <m/>
    <m/>
    <m/>
    <s v="Headcount"/>
    <m/>
    <x v="0"/>
  </r>
  <r>
    <x v="25"/>
    <s v="254875"/>
    <x v="289"/>
    <s v="Aux. Almacén FP"/>
    <s v="AlmacenNoconvencional"/>
    <s v="CASAL, GUSTAVO"/>
    <s v="EFIS"/>
    <s v="NQN"/>
    <s v="1016733"/>
    <s v="Warehouse"/>
    <x v="1"/>
    <m/>
    <m/>
    <m/>
    <m/>
    <m/>
    <s v="Headcount"/>
    <m/>
    <x v="0"/>
  </r>
  <r>
    <x v="25"/>
    <s v="255217"/>
    <x v="290"/>
    <s v="Aux. Almacén FP"/>
    <s v="AlmacenNoconvencional"/>
    <s v="CASAL, GUSTAVO"/>
    <s v="EFIS"/>
    <s v="NQN"/>
    <s v="1016733"/>
    <s v="Warehouse"/>
    <x v="1"/>
    <m/>
    <m/>
    <m/>
    <m/>
    <m/>
    <s v="Headcount"/>
    <m/>
    <x v="0"/>
  </r>
  <r>
    <x v="25"/>
    <s v="255209"/>
    <x v="291"/>
    <s v="Aux. Almacén FP"/>
    <s v="AlmacenNoconvencional"/>
    <s v="CASAL, GUSTAVO"/>
    <s v="EFIS"/>
    <s v="NQN"/>
    <s v="1016733"/>
    <s v="Warehouse"/>
    <x v="1"/>
    <m/>
    <m/>
    <m/>
    <m/>
    <m/>
    <s v="Headcount"/>
    <m/>
    <x v="0"/>
  </r>
  <r>
    <x v="25"/>
    <s v="255115"/>
    <x v="292"/>
    <s v="Aux. Almacén FP"/>
    <s v="AlmacenNoconvencional"/>
    <s v="CASAL, GUSTAVO"/>
    <s v="EFIS"/>
    <s v="NQN"/>
    <s v="1016733"/>
    <s v="Warehouse"/>
    <x v="1"/>
    <m/>
    <m/>
    <m/>
    <m/>
    <m/>
    <s v="Headcount"/>
    <m/>
    <x v="0"/>
  </r>
  <r>
    <x v="56"/>
    <s v="255089"/>
    <x v="293"/>
    <s v="T. Grales Serge Fp"/>
    <s v="Serviciosgenerales"/>
    <s v="CASAL, GUSTAVO"/>
    <s v="EFIS"/>
    <s v="NQN"/>
    <s v="1016733"/>
    <s v="General Services"/>
    <x v="1"/>
    <m/>
    <m/>
    <m/>
    <m/>
    <m/>
    <s v="Headcount"/>
    <m/>
    <x v="0"/>
  </r>
  <r>
    <x v="56"/>
    <s v="255096"/>
    <x v="294"/>
    <s v="T. Grales Serge Fp"/>
    <s v="Serviciosgenerales"/>
    <s v="CASAL, GUSTAVO"/>
    <s v="EFIS"/>
    <s v="NQN"/>
    <s v="1016733"/>
    <s v="General Services"/>
    <x v="1"/>
    <m/>
    <m/>
    <m/>
    <m/>
    <m/>
    <s v="Headcount"/>
    <m/>
    <x v="0"/>
  </r>
  <r>
    <x v="56"/>
    <s v="255087"/>
    <x v="295"/>
    <s v="T. Grales Serge Fp"/>
    <s v="Serviciosgenerales"/>
    <s v="CASAL, GUSTAVO"/>
    <s v="EFIS"/>
    <s v="NQN"/>
    <s v="1016733"/>
    <s v="General Services"/>
    <x v="1"/>
    <m/>
    <m/>
    <m/>
    <m/>
    <m/>
    <s v="Headcount"/>
    <m/>
    <x v="0"/>
  </r>
  <r>
    <x v="56"/>
    <s v="255100"/>
    <x v="296"/>
    <s v="T. Grales Serge Fp"/>
    <s v="Serviciosgenerales"/>
    <s v="CASAL, GUSTAVO"/>
    <s v="EFIS"/>
    <s v="NQN"/>
    <s v="1016733"/>
    <s v="General Services"/>
    <x v="1"/>
    <m/>
    <m/>
    <m/>
    <m/>
    <m/>
    <s v="Headcount"/>
    <m/>
    <x v="0"/>
  </r>
  <r>
    <x v="56"/>
    <n v="259531"/>
    <x v="297"/>
    <s v="T. Grales Serge Fp"/>
    <s v="Serviciosgenerales"/>
    <s v="CASAL, GUSTAVO"/>
    <s v="EFIS"/>
    <s v="NQN"/>
    <s v="1016733"/>
    <s v="General Services"/>
    <x v="1"/>
    <m/>
    <m/>
    <m/>
    <m/>
    <m/>
    <s v="Headcount"/>
    <m/>
    <x v="0"/>
  </r>
  <r>
    <x v="56"/>
    <s v="255092"/>
    <x v="298"/>
    <s v="T. Grales Serge Fp"/>
    <s v="Serviciosgenerales"/>
    <s v="CASAL, GUSTAVO"/>
    <s v="EFIS"/>
    <s v="NQN"/>
    <s v="1016733"/>
    <s v="General Services"/>
    <x v="1"/>
    <m/>
    <m/>
    <m/>
    <m/>
    <m/>
    <s v="Headcount"/>
    <m/>
    <x v="0"/>
  </r>
  <r>
    <x v="57"/>
    <s v="255676"/>
    <x v="299"/>
    <s v="T. Grales Serge LT2E"/>
    <s v="Serviciosgenerales"/>
    <s v="MERCADO, MAURICIO / FREDES, RUBEN"/>
    <s v="EFIS"/>
    <s v="NQN"/>
    <s v="1016733"/>
    <s v="General Services"/>
    <x v="1"/>
    <m/>
    <m/>
    <m/>
    <m/>
    <m/>
    <s v="Headcount"/>
    <m/>
    <x v="4"/>
  </r>
  <r>
    <x v="58"/>
    <s v="254848"/>
    <x v="300"/>
    <s v="Oper campo LT2E"/>
    <s v="OperadordeCampo"/>
    <s v="MERCADO, MAURICIO / FREDES, RUBEN"/>
    <s v="EFIS"/>
    <s v="NQN"/>
    <s v="1016735"/>
    <s v="Operations"/>
    <x v="1"/>
    <m/>
    <m/>
    <m/>
    <m/>
    <m/>
    <s v="Headcount"/>
    <m/>
    <x v="0"/>
  </r>
  <r>
    <x v="58"/>
    <s v="255120"/>
    <x v="301"/>
    <s v="Oper campo LT2E"/>
    <s v="OperadordeCampo"/>
    <s v="MERCADO, MAURICIO / FREDES, RUBEN"/>
    <s v="EFIS"/>
    <s v="NQN"/>
    <s v="1016735"/>
    <s v="Operations"/>
    <x v="1"/>
    <m/>
    <m/>
    <m/>
    <m/>
    <m/>
    <s v="Headcount"/>
    <m/>
    <x v="0"/>
  </r>
  <r>
    <x v="58"/>
    <s v="255203"/>
    <x v="302"/>
    <s v="Oper campo LT2E"/>
    <s v="OperadordeCampo"/>
    <s v="MERCADO, MAURICIO / FREDES, RUBEN"/>
    <s v="EFIS"/>
    <s v="NQN"/>
    <s v="1016735"/>
    <s v="Operations"/>
    <x v="1"/>
    <m/>
    <m/>
    <m/>
    <m/>
    <m/>
    <s v="Headcount"/>
    <m/>
    <x v="0"/>
  </r>
  <r>
    <x v="58"/>
    <s v="255815"/>
    <x v="303"/>
    <s v="Oper campo LT2E"/>
    <s v="OperadordeCampo"/>
    <s v="MERCADO, MAURICIO / FREDES, RUBEN"/>
    <s v="EFIS"/>
    <s v="NQN"/>
    <s v="1016735"/>
    <s v="Operations"/>
    <x v="1"/>
    <m/>
    <m/>
    <m/>
    <m/>
    <m/>
    <s v="Headcount"/>
    <m/>
    <x v="0"/>
  </r>
  <r>
    <x v="58"/>
    <s v="255124"/>
    <x v="304"/>
    <s v="Oper campo LT2E"/>
    <s v="OperadordeCampo"/>
    <s v="MERCADO, MAURICIO / FREDES, RUBEN"/>
    <s v="EFIS"/>
    <s v="NQN"/>
    <s v="1016735"/>
    <s v="Operations"/>
    <x v="1"/>
    <m/>
    <m/>
    <m/>
    <m/>
    <m/>
    <s v="Headcount"/>
    <m/>
    <x v="0"/>
  </r>
  <r>
    <x v="58"/>
    <s v="254893"/>
    <x v="305"/>
    <s v="Oper campo LT2E"/>
    <s v="OperadordeCampo"/>
    <s v="MERCADO, MAURICIO / FREDES, RUBEN"/>
    <s v="EFIS"/>
    <s v="NQN"/>
    <s v="1016735"/>
    <s v="Operations"/>
    <x v="1"/>
    <m/>
    <m/>
    <m/>
    <m/>
    <m/>
    <s v="Headcount"/>
    <m/>
    <x v="0"/>
  </r>
  <r>
    <x v="58"/>
    <s v="254830"/>
    <x v="306"/>
    <s v="Oper campo LT2E"/>
    <s v="Relevooperación"/>
    <s v="MERCADO, MAURICIO / FREDES, RUBEN"/>
    <s v="EFIS"/>
    <s v="NQN"/>
    <s v="1016735"/>
    <s v="Operations"/>
    <x v="1"/>
    <m/>
    <m/>
    <m/>
    <m/>
    <m/>
    <s v="Headcount"/>
    <m/>
    <x v="0"/>
  </r>
  <r>
    <x v="59"/>
    <s v="255149"/>
    <x v="307"/>
    <s v="Chofer LT2E"/>
    <s v="Choferes/Logística"/>
    <s v="MERCADO, MAURICIO / FREDES, RUBEN"/>
    <s v="EFIS"/>
    <s v="NQN"/>
    <s v="1016735"/>
    <s v="Operations"/>
    <x v="1"/>
    <m/>
    <m/>
    <m/>
    <m/>
    <m/>
    <s v="Headcount"/>
    <m/>
    <x v="0"/>
  </r>
  <r>
    <x v="59"/>
    <s v="254841"/>
    <x v="308"/>
    <s v="Chofer LT2E"/>
    <s v="Choferes/Logística"/>
    <s v="MERCADO, MAURICIO / FREDES, RUBEN"/>
    <s v="EFIS"/>
    <s v="NQN"/>
    <s v="1016735"/>
    <s v="Operations"/>
    <x v="1"/>
    <m/>
    <m/>
    <m/>
    <m/>
    <m/>
    <s v="Headcount"/>
    <m/>
    <x v="0"/>
  </r>
  <r>
    <x v="42"/>
    <n v="261781"/>
    <x v="309"/>
    <s v="Tareas Generales Planta FP"/>
    <s v="Serviciosgenerales"/>
    <s v="HUARTE, ESTEBAN"/>
    <s v="EFIS"/>
    <s v="NQN"/>
    <m/>
    <s v="Operations"/>
    <x v="1"/>
    <m/>
    <m/>
    <m/>
    <m/>
    <m/>
    <s v="Headcount"/>
    <m/>
    <x v="0"/>
  </r>
  <r>
    <x v="60"/>
    <m/>
    <x v="310"/>
    <s v="Aux. Almacén LT2E"/>
    <s v="AlmacenNoconvencional"/>
    <s v="MERCADO, MAURICIO / FREDES, RUBEN"/>
    <s v="EFIS"/>
    <s v="NQN"/>
    <m/>
    <s v="Warehouse"/>
    <x v="1"/>
    <m/>
    <m/>
    <m/>
    <m/>
    <m/>
    <s v="Headcount"/>
    <m/>
    <x v="0"/>
  </r>
  <r>
    <x v="60"/>
    <m/>
    <x v="311"/>
    <s v="Aux. Almacén LT2E"/>
    <s v="AlmacenNoconvencional"/>
    <s v="MERCADO, MAURICIO / FREDES, RUBEN"/>
    <s v="EFIS"/>
    <s v="NQN"/>
    <m/>
    <s v="Warehouse"/>
    <x v="1"/>
    <m/>
    <m/>
    <m/>
    <m/>
    <m/>
    <s v="Headcount"/>
    <m/>
    <x v="0"/>
  </r>
  <r>
    <x v="16"/>
    <s v="254900"/>
    <x v="312"/>
    <s v="Oper. Planta Compresión FP"/>
    <s v="Relevooperación"/>
    <s v="HUARTE, ESTEBAN"/>
    <s v="EFIS"/>
    <s v="NQN"/>
    <s v="1016735"/>
    <s v="Operations"/>
    <x v="1"/>
    <m/>
    <m/>
    <m/>
    <m/>
    <m/>
    <s v="Headcount"/>
    <m/>
    <x v="0"/>
  </r>
  <r>
    <x v="16"/>
    <m/>
    <x v="313"/>
    <s v="Oper. Planta Compresión FP"/>
    <s v="OperadordeCompresiónPlanta"/>
    <s v="HUARTE, ESTEBAN"/>
    <s v="EFIS"/>
    <s v="NQN"/>
    <s v="1016735"/>
    <s v="Operations"/>
    <x v="1"/>
    <m/>
    <m/>
    <m/>
    <m/>
    <m/>
    <s v="Headcount"/>
    <m/>
    <x v="0"/>
  </r>
  <r>
    <x v="16"/>
    <m/>
    <x v="314"/>
    <s v="Oper. Planta Compresión FP"/>
    <s v="OperadordeCompresiónPlanta"/>
    <s v="HUARTE, ESTEBAN"/>
    <s v="EFIS"/>
    <s v="NQN"/>
    <m/>
    <s v="Operations"/>
    <x v="1"/>
    <m/>
    <m/>
    <m/>
    <m/>
    <m/>
    <s v="Headcount"/>
    <m/>
    <x v="0"/>
  </r>
  <r>
    <x v="16"/>
    <s v="254767"/>
    <x v="315"/>
    <s v="Oper. Planta Compresión FP"/>
    <s v="OperadordeCompresiónPlanta"/>
    <s v="HUARTE, ESTEBAN"/>
    <s v="EFIS"/>
    <s v="NQN"/>
    <s v="1016735"/>
    <s v="Operations"/>
    <x v="1"/>
    <m/>
    <m/>
    <m/>
    <m/>
    <m/>
    <s v="Headcount"/>
    <m/>
    <x v="0"/>
  </r>
  <r>
    <x v="2"/>
    <m/>
    <x v="316"/>
    <s v="Supervisores Well Services"/>
    <e v="#N/A"/>
    <s v="Buzaglo Sebastian"/>
    <s v="EFIS"/>
    <s v="NQN"/>
    <m/>
    <s v="Operations"/>
    <x v="0"/>
    <m/>
    <m/>
    <m/>
    <m/>
    <m/>
    <s v="Headcount"/>
    <m/>
    <x v="0"/>
  </r>
  <r>
    <x v="50"/>
    <m/>
    <x v="317"/>
    <s v="Compresión FP"/>
    <s v="instrumentista"/>
    <s v="CORDOVA, DANIELA / ALTAMIRANDA, LEANDRO"/>
    <s v="EFIS"/>
    <s v="NQN"/>
    <m/>
    <s v="Maintenance"/>
    <x v="1"/>
    <m/>
    <m/>
    <m/>
    <m/>
    <m/>
    <s v="Headcount"/>
    <m/>
    <x v="0"/>
  </r>
  <r>
    <x v="50"/>
    <m/>
    <x v="318"/>
    <s v="Compresión FP"/>
    <s v="MecánicosCompresión"/>
    <s v="CORDOVA, DANIELA / ALTAMIRANDA, LEANDRO"/>
    <s v="EFIS"/>
    <s v="NQN"/>
    <m/>
    <s v="Maintenance"/>
    <x v="1"/>
    <m/>
    <m/>
    <m/>
    <m/>
    <m/>
    <s v="Headcount"/>
    <m/>
    <x v="0"/>
  </r>
  <r>
    <x v="50"/>
    <n v="265980"/>
    <x v="319"/>
    <s v="Compresión FP"/>
    <s v="MecánicosCompresión"/>
    <s v="CORDOVA, DANIELA / ALTAMIRANDA, LEANDRO"/>
    <s v="EFIS"/>
    <s v="NQN"/>
    <m/>
    <s v="Maintenance"/>
    <x v="1"/>
    <m/>
    <m/>
    <m/>
    <m/>
    <m/>
    <s v="Headcount"/>
    <m/>
    <x v="0"/>
  </r>
  <r>
    <x v="50"/>
    <s v="255229"/>
    <x v="320"/>
    <s v="Compresión FP"/>
    <s v="MecánicosCompresión"/>
    <s v="CORDOVA, DANIELA / ALTAMIRANDA, LEANDRO"/>
    <s v="EFIS"/>
    <s v="NQN"/>
    <m/>
    <s v="Maintenance"/>
    <x v="1"/>
    <m/>
    <m/>
    <m/>
    <m/>
    <m/>
    <s v="Headcount"/>
    <m/>
    <x v="0"/>
  </r>
  <r>
    <x v="61"/>
    <m/>
    <x v="321"/>
    <s v="Mantenimiento TLM"/>
    <s v="OpMantenimiento"/>
    <s v="MACIAS, OSCAR  / SAFFE, JULIAN"/>
    <s v="EFIS"/>
    <s v="NQN"/>
    <m/>
    <s v="Mantainance TLM"/>
    <x v="1"/>
    <m/>
    <m/>
    <m/>
    <m/>
    <m/>
    <s v="Headcount"/>
    <m/>
    <x v="0"/>
  </r>
  <r>
    <x v="61"/>
    <m/>
    <x v="322"/>
    <s v="Mantenimiento TLM"/>
    <s v="OpMantenimiento"/>
    <s v="MACIAS, OSCAR  / SAFFE, JULIAN"/>
    <s v="EFIS"/>
    <s v="NQN"/>
    <m/>
    <s v="Mantainance TLM"/>
    <x v="1"/>
    <m/>
    <m/>
    <m/>
    <m/>
    <m/>
    <s v="Headcount"/>
    <m/>
    <x v="0"/>
  </r>
  <r>
    <x v="61"/>
    <m/>
    <x v="323"/>
    <s v="Mantenimiento TLM"/>
    <s v="OpMantenimiento"/>
    <s v="MACIAS, OSCAR  / SAFFE, JULIAN"/>
    <s v="EFIS"/>
    <s v="NQN"/>
    <m/>
    <s v="Mantainance TLM"/>
    <x v="1"/>
    <m/>
    <m/>
    <m/>
    <m/>
    <m/>
    <s v="Headcount"/>
    <m/>
    <x v="0"/>
  </r>
  <r>
    <x v="44"/>
    <m/>
    <x v="324"/>
    <s v="Mecánicos de flota TLM"/>
    <s v="Mecánicos,engraseyflota"/>
    <s v="CASAL, GUSTAVO"/>
    <s v="EFIS"/>
    <s v="NQN"/>
    <m/>
    <s v="General Services TLM"/>
    <x v="1"/>
    <m/>
    <m/>
    <m/>
    <m/>
    <m/>
    <s v="Headcount"/>
    <m/>
    <x v="0"/>
  </r>
  <r>
    <x v="44"/>
    <m/>
    <x v="325"/>
    <s v="Mecánicos de flota TLM"/>
    <s v="Mecánicos,engraseyflota"/>
    <s v="CASAL, GUSTAVO"/>
    <s v="EFIS"/>
    <s v="NQN"/>
    <m/>
    <s v="General Services TLM"/>
    <x v="1"/>
    <m/>
    <m/>
    <m/>
    <m/>
    <m/>
    <s v="Headcount"/>
    <m/>
    <x v="0"/>
  </r>
  <r>
    <x v="62"/>
    <m/>
    <x v="326"/>
    <s v="Operadores TLM"/>
    <s v="CuartoHombre"/>
    <s v="MACIAS, OSCAR  / SAFFE, JULIAN"/>
    <s v="EFIS"/>
    <s v="NQN"/>
    <m/>
    <s v="TLM"/>
    <x v="1"/>
    <m/>
    <m/>
    <m/>
    <m/>
    <m/>
    <s v="Headcount"/>
    <m/>
    <x v="0"/>
  </r>
  <r>
    <x v="62"/>
    <m/>
    <x v="327"/>
    <s v="Operadores TLM"/>
    <s v="CuartoHombre"/>
    <s v="MACIAS, OSCAR  / SAFFE, JULIAN"/>
    <s v="EFIS"/>
    <s v="NQN"/>
    <m/>
    <s v="TLM"/>
    <x v="1"/>
    <m/>
    <m/>
    <m/>
    <m/>
    <m/>
    <s v="Headcount"/>
    <m/>
    <x v="0"/>
  </r>
  <r>
    <x v="62"/>
    <n v="259674"/>
    <x v="328"/>
    <s v="Operadores TLM"/>
    <s v="CuartoHombre"/>
    <s v="MACIAS, OSCAR  / SAFFE, JULIAN"/>
    <s v="EFIS"/>
    <s v="NQN"/>
    <m/>
    <s v="TLM"/>
    <x v="1"/>
    <m/>
    <m/>
    <m/>
    <m/>
    <m/>
    <s v="Headcount"/>
    <m/>
    <x v="0"/>
  </r>
  <r>
    <x v="62"/>
    <m/>
    <x v="329"/>
    <s v="Operadores TLM"/>
    <s v="CuartoHombre"/>
    <s v="MACIAS, OSCAR  / SAFFE, JULIAN"/>
    <s v="EFIS"/>
    <s v="NQN"/>
    <m/>
    <s v="TLM"/>
    <x v="1"/>
    <m/>
    <m/>
    <m/>
    <m/>
    <m/>
    <s v="Headcount"/>
    <m/>
    <x v="0"/>
  </r>
  <r>
    <x v="62"/>
    <m/>
    <x v="330"/>
    <s v="Operadores TLM"/>
    <s v="OperadordeCradle"/>
    <s v="MACIAS, OSCAR  / SAFFE, JULIAN"/>
    <s v="EFIS"/>
    <s v="NQN"/>
    <m/>
    <s v="TLM"/>
    <x v="1"/>
    <m/>
    <m/>
    <m/>
    <m/>
    <m/>
    <s v="Headcount"/>
    <m/>
    <x v="0"/>
  </r>
  <r>
    <x v="62"/>
    <m/>
    <x v="331"/>
    <s v="Operadores TLM"/>
    <s v="CuartoHombre"/>
    <s v="MACIAS, OSCAR  / SAFFE, JULIAN"/>
    <s v="EFIS"/>
    <s v="NQN"/>
    <m/>
    <s v="TLM"/>
    <x v="1"/>
    <m/>
    <m/>
    <m/>
    <m/>
    <m/>
    <s v="Headcount"/>
    <m/>
    <x v="0"/>
  </r>
  <r>
    <x v="62"/>
    <m/>
    <x v="332"/>
    <s v="Operadores TLM"/>
    <s v="Operadordeautoelevador"/>
    <s v="MACIAS, OSCAR  / SAFFE, JULIAN"/>
    <s v="EFIS"/>
    <s v="NQN"/>
    <m/>
    <s v="TLM"/>
    <x v="1"/>
    <m/>
    <m/>
    <m/>
    <m/>
    <m/>
    <s v="Headcount"/>
    <m/>
    <x v="0"/>
  </r>
  <r>
    <x v="62"/>
    <m/>
    <x v="333"/>
    <s v="Operadores TLM"/>
    <s v="Operadordeautoelevador"/>
    <s v="MACIAS, OSCAR  / SAFFE, JULIAN"/>
    <s v="EFIS"/>
    <s v="NQN"/>
    <m/>
    <s v="TLM"/>
    <x v="1"/>
    <m/>
    <m/>
    <m/>
    <m/>
    <m/>
    <s v="Headcount"/>
    <m/>
    <x v="0"/>
  </r>
  <r>
    <x v="62"/>
    <m/>
    <x v="334"/>
    <s v="Operadores TLM"/>
    <s v="OperadordeCradle"/>
    <s v="MACIAS, OSCAR  / SAFFE, JULIAN"/>
    <s v="EFIS"/>
    <s v="NQN"/>
    <m/>
    <s v="TLM"/>
    <x v="1"/>
    <m/>
    <m/>
    <m/>
    <m/>
    <m/>
    <s v="Headcount"/>
    <m/>
    <x v="0"/>
  </r>
  <r>
    <x v="62"/>
    <m/>
    <x v="335"/>
    <s v="Operadores TLM"/>
    <s v="OperadordeCradle"/>
    <s v="MACIAS, OSCAR  / SAFFE, JULIAN"/>
    <s v="EFIS"/>
    <s v="NQN"/>
    <m/>
    <s v="TLM"/>
    <x v="1"/>
    <m/>
    <m/>
    <m/>
    <m/>
    <m/>
    <s v="Headcount"/>
    <m/>
    <x v="0"/>
  </r>
  <r>
    <x v="62"/>
    <m/>
    <x v="336"/>
    <s v="Operadores TLM"/>
    <s v="CuartoHombre"/>
    <s v="MACIAS, OSCAR  / SAFFE, JULIAN"/>
    <s v="EFIS"/>
    <s v="NQN"/>
    <m/>
    <s v="TLM"/>
    <x v="1"/>
    <m/>
    <m/>
    <m/>
    <m/>
    <m/>
    <s v="Headcount"/>
    <m/>
    <x v="0"/>
  </r>
  <r>
    <x v="62"/>
    <m/>
    <x v="337"/>
    <s v="Operadores TLM"/>
    <s v="CuartoHombre"/>
    <s v="MACIAS, OSCAR  / SAFFE, JULIAN"/>
    <s v="EFIS"/>
    <s v="NQN"/>
    <m/>
    <s v="TLM"/>
    <x v="1"/>
    <m/>
    <m/>
    <m/>
    <m/>
    <m/>
    <s v="Headcount"/>
    <m/>
    <x v="0"/>
  </r>
  <r>
    <x v="63"/>
    <m/>
    <x v="338"/>
    <s v="Relevos TLM"/>
    <s v="CuartoHombre"/>
    <s v="MACIAS, OSCAR  / SAFFE, JULIAN"/>
    <s v="EFIS"/>
    <s v="NQN"/>
    <m/>
    <s v="TLM"/>
    <x v="1"/>
    <m/>
    <m/>
    <m/>
    <m/>
    <m/>
    <s v="Headcount"/>
    <m/>
    <x v="0"/>
  </r>
  <r>
    <x v="63"/>
    <m/>
    <x v="339"/>
    <s v="Relevos TLM"/>
    <s v="CuartoHombre"/>
    <s v="MACIAS, OSCAR  / SAFFE, JULIAN"/>
    <s v="EFIS"/>
    <s v="NQN"/>
    <m/>
    <s v="TLM"/>
    <x v="1"/>
    <m/>
    <m/>
    <m/>
    <m/>
    <m/>
    <s v="Headcount"/>
    <m/>
    <x v="0"/>
  </r>
  <r>
    <x v="63"/>
    <m/>
    <x v="340"/>
    <s v="Relevos TLM"/>
    <s v="CuartoHombre"/>
    <s v="MACIAS, OSCAR  / SAFFE, JULIAN"/>
    <s v="EFIS"/>
    <s v="NQN"/>
    <m/>
    <s v="TLM"/>
    <x v="1"/>
    <m/>
    <m/>
    <m/>
    <m/>
    <m/>
    <s v="Headcount"/>
    <m/>
    <x v="0"/>
  </r>
  <r>
    <x v="39"/>
    <m/>
    <x v="341"/>
    <s v="Oper. LTS FP"/>
    <e v="#N/A"/>
    <s v="HUARTE, ESTEBAN"/>
    <s v="EFIS"/>
    <s v="NQN"/>
    <m/>
    <s v="Operations"/>
    <x v="1"/>
    <m/>
    <m/>
    <m/>
    <m/>
    <m/>
    <s v="Headcount"/>
    <m/>
    <x v="0"/>
  </r>
  <r>
    <x v="2"/>
    <m/>
    <x v="342"/>
    <s v="Supervisores Well Services"/>
    <e v="#N/A"/>
    <s v="Buzaglo Sebastian"/>
    <s v="EFIS"/>
    <s v="NQN"/>
    <m/>
    <s v="Operations"/>
    <x v="0"/>
    <m/>
    <m/>
    <m/>
    <m/>
    <m/>
    <s v="Headcount"/>
    <m/>
    <x v="0"/>
  </r>
  <r>
    <x v="57"/>
    <m/>
    <x v="343"/>
    <s v="T. Grales Serge LT2E"/>
    <s v="Serviciosgenerales"/>
    <s v="MERCADO, MAURICIO / FREDES, RUBEN"/>
    <s v="EFIS"/>
    <s v="NQN"/>
    <m/>
    <s v="General Services"/>
    <x v="1"/>
    <m/>
    <m/>
    <m/>
    <m/>
    <m/>
    <s v="Headcount"/>
    <m/>
    <x v="0"/>
  </r>
  <r>
    <x v="47"/>
    <m/>
    <x v="344"/>
    <s v="Oper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47"/>
    <m/>
    <x v="345"/>
    <s v="Oper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47"/>
    <m/>
    <x v="346"/>
    <s v="Oper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47"/>
    <m/>
    <x v="347"/>
    <s v="Oper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47"/>
    <m/>
    <x v="348"/>
    <s v="Oper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47"/>
    <m/>
    <x v="349"/>
    <s v="Oper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47"/>
    <m/>
    <x v="350"/>
    <s v="Oper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47"/>
    <m/>
    <x v="351"/>
    <s v="Oper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47"/>
    <m/>
    <x v="352"/>
    <s v="Oper Well Services FP"/>
    <s v="WellServicesDesfogue"/>
    <s v="MACIAS, OSCAR  / SAFFE, JULIAN"/>
    <s v="EFIS"/>
    <s v="NQN"/>
    <m/>
    <s v="Operations"/>
    <x v="1"/>
    <m/>
    <m/>
    <m/>
    <m/>
    <m/>
    <s v="Headcount"/>
    <m/>
    <x v="0"/>
  </r>
  <r>
    <x v="53"/>
    <m/>
    <x v="353"/>
    <s v="Mtto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48"/>
    <m/>
    <x v="354"/>
    <s v="Mtto Instrumentos FP"/>
    <s v="Relevomantenimiento"/>
    <s v="CORDOVA, DANIELA / ALTAMIRANDA, LEANDRO"/>
    <s v="EFIS"/>
    <s v="NQN"/>
    <m/>
    <s v="Maintenance"/>
    <x v="1"/>
    <m/>
    <m/>
    <m/>
    <m/>
    <m/>
    <s v="Headcount"/>
    <m/>
    <x v="0"/>
  </r>
  <r>
    <x v="53"/>
    <s v="254755"/>
    <x v="355"/>
    <s v="Mtto Well Services FP"/>
    <s v="Instrumentista"/>
    <s v="MACIAS, OSCAR  / SAFFE, JULIAN"/>
    <s v="EFIS"/>
    <s v="NQN"/>
    <m/>
    <s v="Maintenance"/>
    <x v="1"/>
    <m/>
    <m/>
    <m/>
    <m/>
    <m/>
    <s v="Headcount"/>
    <m/>
    <x v="0"/>
  </r>
  <r>
    <x v="53"/>
    <m/>
    <x v="356"/>
    <s v="Mtto Well Services FP"/>
    <s v="WellServices"/>
    <s v="MACIAS, OSCAR  / SAFFE, JULIAN"/>
    <s v="EFIS"/>
    <s v="NQN"/>
    <m/>
    <s v="Operations"/>
    <x v="1"/>
    <m/>
    <m/>
    <m/>
    <m/>
    <m/>
    <s v="Headcount"/>
    <m/>
    <x v="0"/>
  </r>
  <r>
    <x v="31"/>
    <m/>
    <x v="357"/>
    <s v="Oper. PTA SALA"/>
    <e v="#N/A"/>
    <s v="BECHARA, LUCAS ANTONIO"/>
    <s v="EFIS"/>
    <s v="NQN"/>
    <m/>
    <s v="Maintenance"/>
    <x v="1"/>
    <m/>
    <m/>
    <m/>
    <m/>
    <m/>
    <s v="Headcount"/>
    <m/>
    <x v="3"/>
  </r>
  <r>
    <x v="28"/>
    <m/>
    <x v="358"/>
    <s v="Mtto Mecánico LBAS"/>
    <e v="#N/A"/>
    <s v="BECHARA, LUCAS ANTONIO"/>
    <s v="EFIS"/>
    <s v="NQN"/>
    <m/>
    <s v="Maintenance"/>
    <x v="1"/>
    <m/>
    <m/>
    <m/>
    <m/>
    <m/>
    <s v="Headcount"/>
    <m/>
    <x v="3"/>
  </r>
  <r>
    <x v="60"/>
    <m/>
    <x v="359"/>
    <s v="Aux. Almacén LT2E"/>
    <s v="AlmacenNoconvencional"/>
    <s v="MERCADO, MAURICIO / FREDES, RUBEN"/>
    <s v="EFIS"/>
    <s v="NQN"/>
    <m/>
    <s v="Warehouse"/>
    <x v="1"/>
    <m/>
    <m/>
    <m/>
    <m/>
    <m/>
    <s v="Headcount"/>
    <m/>
    <x v="0"/>
  </r>
  <r>
    <x v="4"/>
    <m/>
    <x v="360"/>
    <s v="Mtto Mecánico FP"/>
    <e v="#N/A"/>
    <s v="CORDOVA, DANIELA / ALTAMIRANDA, LEANDRO"/>
    <s v="EFIS"/>
    <s v="NQN"/>
    <m/>
    <s v="Maintenance"/>
    <x v="1"/>
    <m/>
    <m/>
    <m/>
    <m/>
    <m/>
    <s v="Headcount"/>
    <m/>
    <x v="3"/>
  </r>
  <r>
    <x v="39"/>
    <m/>
    <x v="361"/>
    <s v="Oper. LTS FP"/>
    <e v="#N/A"/>
    <s v="HUARTE, ESTEBAN"/>
    <s v="EFIS"/>
    <s v="NQN"/>
    <m/>
    <s v="Maintenance"/>
    <x v="1"/>
    <m/>
    <m/>
    <m/>
    <m/>
    <m/>
    <s v="Headcount"/>
    <m/>
    <x v="3"/>
  </r>
  <r>
    <x v="39"/>
    <m/>
    <x v="362"/>
    <s v="Oper. LTS FP"/>
    <s v="OperadordePlantadeAguaCPF"/>
    <s v="HUARTE, ESTEBAN"/>
    <s v="EFIS"/>
    <s v="NQN"/>
    <m/>
    <s v="Maintenance"/>
    <x v="1"/>
    <m/>
    <m/>
    <m/>
    <m/>
    <m/>
    <s v="Headcount"/>
    <m/>
    <x v="0"/>
  </r>
  <r>
    <x v="64"/>
    <m/>
    <x v="363"/>
    <s v="Montaje y Soldadura FP"/>
    <s v="OperadordeCampo"/>
    <s v="CASAL, GUSTAVO"/>
    <s v="EFIS"/>
    <s v="NQN"/>
    <m/>
    <s v="Facilities"/>
    <x v="1"/>
    <m/>
    <m/>
    <m/>
    <m/>
    <m/>
    <s v="Headcount"/>
    <m/>
    <x v="0"/>
  </r>
  <r>
    <x v="64"/>
    <m/>
    <x v="364"/>
    <s v="Montaje y Soldadura FP"/>
    <s v="OperadordeCampo"/>
    <s v="CASAL, GUSTAVO"/>
    <s v="EFIS"/>
    <s v="NQN"/>
    <m/>
    <s v="Facilities"/>
    <x v="1"/>
    <m/>
    <m/>
    <m/>
    <m/>
    <m/>
    <s v="Headcount"/>
    <m/>
    <x v="0"/>
  </r>
  <r>
    <x v="64"/>
    <m/>
    <x v="365"/>
    <s v="Montaje y Soldadura FP"/>
    <s v="OperadordeCampo"/>
    <s v="CASAL, GUSTAVO"/>
    <s v="EFIS"/>
    <s v="NQN"/>
    <m/>
    <s v="Facilities"/>
    <x v="1"/>
    <m/>
    <m/>
    <m/>
    <m/>
    <m/>
    <s v="Headcount"/>
    <m/>
    <x v="0"/>
  </r>
  <r>
    <x v="64"/>
    <m/>
    <x v="366"/>
    <s v="Montaje y Soldadura FP"/>
    <s v="OperadordeCampo"/>
    <s v="CASAL, GUSTAVO"/>
    <s v="EFIS"/>
    <s v="NQN"/>
    <m/>
    <s v="Facilities"/>
    <x v="1"/>
    <m/>
    <m/>
    <m/>
    <m/>
    <m/>
    <s v="Headcount"/>
    <m/>
    <x v="0"/>
  </r>
  <r>
    <x v="64"/>
    <m/>
    <x v="367"/>
    <s v="Montaje y Soldadura FP"/>
    <s v="OperadordeCampo"/>
    <s v="CASAL, GUSTAVO"/>
    <s v="EFIS"/>
    <s v="NQN"/>
    <m/>
    <s v="Facilities"/>
    <x v="1"/>
    <m/>
    <m/>
    <m/>
    <m/>
    <m/>
    <s v="Headcount"/>
    <m/>
    <x v="0"/>
  </r>
  <r>
    <x v="64"/>
    <m/>
    <x v="368"/>
    <s v="Montaje y Soldadura FP"/>
    <s v="OperadordeCampo"/>
    <s v="CASAL, GUSTAVO"/>
    <s v="EFIS"/>
    <s v="NQN"/>
    <m/>
    <s v="Facilities"/>
    <x v="1"/>
    <m/>
    <m/>
    <m/>
    <m/>
    <m/>
    <s v="Headcount"/>
    <m/>
    <x v="0"/>
  </r>
  <r>
    <x v="64"/>
    <m/>
    <x v="369"/>
    <s v="Montaje y Soldadura FP"/>
    <s v="OperadordeCampo"/>
    <s v="CASAL, GUSTAVO"/>
    <s v="EFIS"/>
    <s v="NQN"/>
    <m/>
    <s v="Facilities"/>
    <x v="1"/>
    <m/>
    <m/>
    <m/>
    <m/>
    <m/>
    <s v="Headcount"/>
    <m/>
    <x v="0"/>
  </r>
  <r>
    <x v="64"/>
    <m/>
    <x v="370"/>
    <s v="Montaje y Soldadura FP"/>
    <s v="OperadordeCampo"/>
    <s v="CASAL, GUSTAVO"/>
    <s v="EFIS"/>
    <s v="NQN"/>
    <m/>
    <s v="Facilities"/>
    <x v="1"/>
    <m/>
    <m/>
    <m/>
    <m/>
    <m/>
    <m/>
    <m/>
    <x v="1"/>
  </r>
  <r>
    <x v="64"/>
    <m/>
    <x v="371"/>
    <s v="Montaje y Soldadura FP"/>
    <s v="OperadordeCampo"/>
    <s v="CASAL, GUSTAVO"/>
    <s v="EFIS"/>
    <s v="NQN"/>
    <m/>
    <s v="Facilities"/>
    <x v="1"/>
    <m/>
    <m/>
    <m/>
    <m/>
    <m/>
    <s v="Headcount"/>
    <m/>
    <x v="0"/>
  </r>
  <r>
    <x v="65"/>
    <m/>
    <x v="372"/>
    <s v="Oper campo LT1N"/>
    <s v="OperadordeCampo"/>
    <s v="MERCADO, MAURICIO / FREDES, RUBEN"/>
    <s v="EFIS"/>
    <s v="NQN"/>
    <m/>
    <s v="Operations"/>
    <x v="1"/>
    <m/>
    <m/>
    <m/>
    <m/>
    <m/>
    <s v="Headcount"/>
    <m/>
    <x v="0"/>
  </r>
  <r>
    <x v="66"/>
    <m/>
    <x v="373"/>
    <s v="Almacenamiento de Agua LT2E"/>
    <e v="#N/A"/>
    <s v="MERCADO, MAURICIO / FREDES, RUBEN"/>
    <s v="EFIS"/>
    <s v="NQN"/>
    <m/>
    <s v="Operations"/>
    <x v="1"/>
    <m/>
    <m/>
    <m/>
    <m/>
    <m/>
    <s v="Headcount"/>
    <m/>
    <x v="0"/>
  </r>
  <r>
    <x v="65"/>
    <m/>
    <x v="374"/>
    <s v="Oper campo LT1N"/>
    <s v="OperadordeCampo"/>
    <s v="MERCADO, MAURICIO / FREDES, RUBEN"/>
    <s v="EFIS"/>
    <s v="NQN"/>
    <m/>
    <s v="Operations"/>
    <x v="1"/>
    <m/>
    <m/>
    <m/>
    <m/>
    <m/>
    <s v="Headcount"/>
    <m/>
    <x v="0"/>
  </r>
  <r>
    <x v="65"/>
    <m/>
    <x v="375"/>
    <s v="Oper campo LT1N"/>
    <s v="OperadordeCampo"/>
    <s v="MERCADO, MAURICIO / FREDES, RUBEN"/>
    <s v="EFIS"/>
    <s v="NQN"/>
    <m/>
    <s v="Operations"/>
    <x v="1"/>
    <m/>
    <m/>
    <m/>
    <m/>
    <m/>
    <s v="Headcount"/>
    <m/>
    <x v="0"/>
  </r>
  <r>
    <x v="65"/>
    <m/>
    <x v="376"/>
    <s v="Oper campo LT1N"/>
    <s v="OperadordeCampo"/>
    <s v="MERCADO, MAURICIO / FREDES, RUBEN"/>
    <s v="EFIS"/>
    <s v="NQN"/>
    <m/>
    <s v="Operations"/>
    <x v="1"/>
    <m/>
    <m/>
    <m/>
    <m/>
    <m/>
    <s v="Headcount"/>
    <m/>
    <x v="0"/>
  </r>
  <r>
    <x v="65"/>
    <m/>
    <x v="377"/>
    <s v="Oper campo LT1N"/>
    <s v="OperadordeCampo"/>
    <s v="MERCADO, MAURICIO / FREDES, RUBEN"/>
    <s v="EFIS"/>
    <s v="NQN"/>
    <m/>
    <s v="Operations"/>
    <x v="1"/>
    <m/>
    <m/>
    <m/>
    <m/>
    <m/>
    <s v="Headcount"/>
    <m/>
    <x v="0"/>
  </r>
  <r>
    <x v="65"/>
    <m/>
    <x v="378"/>
    <s v="Oper campo LT1N"/>
    <s v="OperadordeCampo"/>
    <s v="MERCADO, MAURICIO / FREDES, RUBEN"/>
    <s v="EFIS"/>
    <s v="NQN"/>
    <m/>
    <s v="Operations"/>
    <x v="1"/>
    <m/>
    <m/>
    <m/>
    <m/>
    <m/>
    <s v="Headcount"/>
    <m/>
    <x v="0"/>
  </r>
  <r>
    <x v="65"/>
    <m/>
    <x v="379"/>
    <s v="Oper campo LT1N"/>
    <s v="OperadordeCampo"/>
    <s v="MERCADO, MAURICIO / FREDES, RUBEN"/>
    <s v="EFIS"/>
    <s v="NQN"/>
    <m/>
    <s v="Operations"/>
    <x v="1"/>
    <m/>
    <m/>
    <m/>
    <m/>
    <m/>
    <s v="Headcount"/>
    <m/>
    <x v="0"/>
  </r>
  <r>
    <x v="66"/>
    <m/>
    <x v="380"/>
    <s v="Almacenamiento de Agua LT2E"/>
    <e v="#N/A"/>
    <s v="MERCADO, MAURICIO / FREDES, RUBEN"/>
    <s v="EFIS"/>
    <s v="NQN"/>
    <m/>
    <s v="Operations"/>
    <x v="1"/>
    <m/>
    <m/>
    <m/>
    <m/>
    <m/>
    <s v="Headcount"/>
    <m/>
    <x v="0"/>
  </r>
  <r>
    <x v="65"/>
    <m/>
    <x v="381"/>
    <s v="Oper campo LT1N"/>
    <s v="OperadordeCampo"/>
    <s v="MERCADO, MAURICIO / FREDES, RUBEN"/>
    <s v="EFIS"/>
    <s v="NQN"/>
    <m/>
    <s v="Operations"/>
    <x v="1"/>
    <m/>
    <m/>
    <m/>
    <m/>
    <m/>
    <s v="Headcount"/>
    <m/>
    <x v="0"/>
  </r>
  <r>
    <x v="66"/>
    <m/>
    <x v="382"/>
    <s v="Almacenamiento de Agua LT2E"/>
    <e v="#N/A"/>
    <s v="MERCADO, MAURICIO / FREDES, RUBEN"/>
    <s v="EFIS"/>
    <s v="NQN"/>
    <m/>
    <s v="Operations"/>
    <x v="1"/>
    <m/>
    <m/>
    <m/>
    <m/>
    <m/>
    <s v="Headcount"/>
    <m/>
    <x v="0"/>
  </r>
  <r>
    <x v="66"/>
    <m/>
    <x v="383"/>
    <s v="Almacenamiento de Agua LT2E"/>
    <e v="#N/A"/>
    <s v="MERCADO, MAURICIO / FREDES, RUBEN"/>
    <s v="EFIS"/>
    <s v="NQN"/>
    <m/>
    <s v="Operations"/>
    <x v="1"/>
    <m/>
    <m/>
    <m/>
    <m/>
    <m/>
    <s v="Headcount"/>
    <m/>
    <x v="0"/>
  </r>
  <r>
    <x v="65"/>
    <m/>
    <x v="384"/>
    <s v="Oper campo LT1N"/>
    <s v="Relevooperación"/>
    <s v="MERCADO, MAURICIO / FREDES, RUBEN"/>
    <s v="EFIS"/>
    <s v="NQN"/>
    <m/>
    <s v="Operations"/>
    <x v="1"/>
    <m/>
    <m/>
    <m/>
    <m/>
    <m/>
    <s v="Headcount"/>
    <m/>
    <x v="0"/>
  </r>
  <r>
    <x v="65"/>
    <m/>
    <x v="385"/>
    <s v="Oper campo LT1N"/>
    <s v="Relevooperación"/>
    <s v="MERCADO, MAURICIO / FREDES, RUBEN"/>
    <s v="EFIS"/>
    <s v="NQN"/>
    <m/>
    <s v="Operations"/>
    <x v="1"/>
    <m/>
    <m/>
    <m/>
    <m/>
    <m/>
    <s v="Headcount"/>
    <m/>
    <x v="0"/>
  </r>
  <r>
    <x v="42"/>
    <m/>
    <x v="386"/>
    <s v="Tareas Generales Planta FP"/>
    <e v="#N/A"/>
    <s v="HUARTE, ESTEBAN"/>
    <s v="EFIS"/>
    <s v="NQN"/>
    <m/>
    <s v="Operations"/>
    <x v="1"/>
    <m/>
    <m/>
    <m/>
    <m/>
    <m/>
    <s v="Headcount"/>
    <m/>
    <x v="5"/>
  </r>
  <r>
    <x v="42"/>
    <m/>
    <x v="386"/>
    <s v="Tareas Generales Planta FP"/>
    <e v="#N/A"/>
    <s v="HUARTE, ESTEBAN"/>
    <s v="EFIS"/>
    <s v="NQN"/>
    <m/>
    <s v="Operations"/>
    <x v="1"/>
    <m/>
    <m/>
    <m/>
    <m/>
    <m/>
    <s v="Headcount"/>
    <m/>
    <x v="5"/>
  </r>
  <r>
    <x v="47"/>
    <m/>
    <x v="387"/>
    <s v="Oper Well Services FP"/>
    <s v="WellServicesDesfogue"/>
    <s v="MACIAS, OSCAR  / SAFFE, JULIAN"/>
    <s v="EFIS"/>
    <s v="NQN"/>
    <m/>
    <s v="Operations"/>
    <x v="1"/>
    <m/>
    <m/>
    <m/>
    <m/>
    <m/>
    <s v="Headcount"/>
    <m/>
    <x v="0"/>
  </r>
  <r>
    <x v="47"/>
    <m/>
    <x v="388"/>
    <s v="Oper Well Services FP"/>
    <s v="WellServicesDesfogue"/>
    <s v="MACIAS, OSCAR  / SAFFE, JULIAN"/>
    <s v="EFIS"/>
    <s v="NQN"/>
    <m/>
    <s v="Operations"/>
    <x v="1"/>
    <m/>
    <m/>
    <m/>
    <m/>
    <m/>
    <s v="Headcount"/>
    <m/>
    <x v="0"/>
  </r>
  <r>
    <x v="47"/>
    <m/>
    <x v="389"/>
    <s v="Oper Well Services FP"/>
    <s v="WellServicesDesfogue"/>
    <s v="MACIAS, OSCAR  / SAFFE, JULIAN"/>
    <s v="EFIS"/>
    <s v="NQN"/>
    <m/>
    <s v="Operations"/>
    <x v="1"/>
    <m/>
    <m/>
    <m/>
    <m/>
    <m/>
    <s v="Headcount"/>
    <m/>
    <x v="0"/>
  </r>
  <r>
    <x v="47"/>
    <m/>
    <x v="390"/>
    <s v="Oper Well Services FP"/>
    <s v="WellServicesDesfogue"/>
    <s v="MACIAS, OSCAR  / SAFFE, JULIAN"/>
    <s v="EFIS"/>
    <s v="NQN"/>
    <m/>
    <s v="Operations"/>
    <x v="1"/>
    <m/>
    <m/>
    <m/>
    <m/>
    <m/>
    <s v="Headcount"/>
    <m/>
    <x v="0"/>
  </r>
  <r>
    <x v="40"/>
    <m/>
    <x v="68"/>
    <s v="Oper. PTA FP"/>
    <s v="OperadordePlantadeAguaWatertransfer"/>
    <s v="HUARTE, ESTEBAN"/>
    <s v="EFIS"/>
    <s v="NQN"/>
    <m/>
    <s v="Operations"/>
    <x v="1"/>
    <m/>
    <m/>
    <m/>
    <m/>
    <m/>
    <s v="Headcount"/>
    <m/>
    <x v="5"/>
  </r>
  <r>
    <x v="40"/>
    <m/>
    <x v="391"/>
    <s v="Oper. PTA FP"/>
    <s v="OperadordePlantadeAguaWatertransfer"/>
    <s v="HUARTE, ESTEBAN"/>
    <s v="EFIS"/>
    <s v="NQN"/>
    <m/>
    <s v="Operations"/>
    <x v="1"/>
    <m/>
    <m/>
    <m/>
    <m/>
    <m/>
    <s v="Headcount"/>
    <m/>
    <x v="5"/>
  </r>
  <r>
    <x v="40"/>
    <m/>
    <x v="392"/>
    <s v="Oper. PTA FP"/>
    <s v="OperadordePlantadeAguaCPF"/>
    <s v="HUARTE, ESTEBAN"/>
    <s v="EFIS"/>
    <s v="NQN"/>
    <m/>
    <s v="Operations"/>
    <x v="1"/>
    <m/>
    <m/>
    <m/>
    <m/>
    <m/>
    <s v="Headcount"/>
    <m/>
    <x v="5"/>
  </r>
  <r>
    <x v="19"/>
    <m/>
    <x v="393"/>
    <s v="Otras especialidades"/>
    <n v="0"/>
    <s v="Barrientos Ivan"/>
    <s v="EFIS"/>
    <s v="NQN"/>
    <m/>
    <s v="Maintenance"/>
    <x v="0"/>
    <m/>
    <m/>
    <m/>
    <m/>
    <m/>
    <s v="Headcount"/>
    <m/>
    <x v="0"/>
  </r>
  <r>
    <x v="57"/>
    <m/>
    <x v="394"/>
    <s v="T. Grales Serge LT2E"/>
    <e v="#N/A"/>
    <s v="MERCADO, MAURICIO / FREDES, RUBEN"/>
    <s v="EFIS"/>
    <s v="NQN"/>
    <m/>
    <s v="General Services"/>
    <x v="1"/>
    <m/>
    <m/>
    <m/>
    <m/>
    <m/>
    <s v="Headcount"/>
    <m/>
    <x v="0"/>
  </r>
  <r>
    <x v="60"/>
    <m/>
    <x v="395"/>
    <s v="Aux. Almacén LT2E"/>
    <s v="AlmacenNoconvencional"/>
    <s v="MERCADO, MAURICIO / FREDES, RUBEN"/>
    <s v="EFIS"/>
    <s v="NQN"/>
    <m/>
    <s v="Warehouse"/>
    <x v="1"/>
    <m/>
    <m/>
    <m/>
    <m/>
    <m/>
    <s v="Headcount"/>
    <m/>
    <x v="0"/>
  </r>
  <r>
    <x v="60"/>
    <m/>
    <x v="395"/>
    <s v="Aux. Almacén LT2E"/>
    <s v="AlmacenNoconvencional"/>
    <s v="MERCADO, MAURICIO / FREDES, RUBEN"/>
    <s v="EFIS"/>
    <s v="NQN"/>
    <m/>
    <s v="Warehouse"/>
    <x v="1"/>
    <m/>
    <m/>
    <m/>
    <m/>
    <m/>
    <s v="Headcount"/>
    <m/>
    <x v="0"/>
  </r>
  <r>
    <x v="60"/>
    <m/>
    <x v="395"/>
    <s v="Aux. Almacén LT2E"/>
    <s v="AlmacenNoconvencional"/>
    <s v="MERCADO, MAURICIO / FREDES, RUBEN"/>
    <s v="EFIS"/>
    <s v="NQN"/>
    <m/>
    <s v="Warehouse"/>
    <x v="1"/>
    <m/>
    <m/>
    <m/>
    <m/>
    <m/>
    <s v="Headcount"/>
    <m/>
    <x v="0"/>
  </r>
  <r>
    <x v="60"/>
    <m/>
    <x v="395"/>
    <s v="Aux. Almacén LT2E"/>
    <e v="#N/A"/>
    <s v="MERCADO, MAURICIO / FREDES, RUBEN"/>
    <s v="EFIS"/>
    <s v="NQN"/>
    <m/>
    <s v="Warehouse"/>
    <x v="1"/>
    <m/>
    <m/>
    <m/>
    <m/>
    <m/>
    <s v="Headcount"/>
    <m/>
    <x v="0"/>
  </r>
  <r>
    <x v="60"/>
    <m/>
    <x v="396"/>
    <s v="Aux. Almacén LT2E"/>
    <e v="#N/A"/>
    <s v="MERCADO, MAURICIO / FREDES, RUBEN"/>
    <s v="EFIS"/>
    <s v="NQN"/>
    <m/>
    <s v="Warehouse"/>
    <x v="1"/>
    <m/>
    <m/>
    <m/>
    <m/>
    <m/>
    <s v="Headcount"/>
    <m/>
    <x v="0"/>
  </r>
  <r>
    <x v="58"/>
    <m/>
    <x v="397"/>
    <s v="Oper campo LT2E"/>
    <s v="OperadordeCampo"/>
    <s v="MERCADO, MAURICIO / FREDES, RUBEN"/>
    <s v="EFIS"/>
    <s v="NQN"/>
    <m/>
    <s v="Operations"/>
    <x v="1"/>
    <m/>
    <m/>
    <m/>
    <m/>
    <m/>
    <s v="Headcount"/>
    <m/>
    <x v="0"/>
  </r>
  <r>
    <x v="58"/>
    <m/>
    <x v="398"/>
    <s v="Oper campo LT2E"/>
    <s v="Relevooperación"/>
    <s v="MERCADO, MAURICIO / FREDES, RUBEN"/>
    <s v="EFIS"/>
    <s v="NQN"/>
    <m/>
    <s v="Operations"/>
    <x v="1"/>
    <m/>
    <m/>
    <m/>
    <m/>
    <m/>
    <s v="Headcount"/>
    <m/>
    <x v="0"/>
  </r>
  <r>
    <x v="5"/>
    <m/>
    <x v="399"/>
    <s v="PJ TLM"/>
    <s v="Supervisoroperativo/Producción"/>
    <s v="Segura Alejandro"/>
    <s v="EFIS"/>
    <s v="NQN"/>
    <m/>
    <s v="O&amp;M Services"/>
    <x v="0"/>
    <m/>
    <m/>
    <m/>
    <m/>
    <m/>
    <s v="Headcount"/>
    <m/>
    <x v="0"/>
  </r>
  <r>
    <x v="5"/>
    <m/>
    <x v="400"/>
    <s v="PJ TLM"/>
    <s v="SupervisoresSAS/OT"/>
    <s v="Gomeza Rafael"/>
    <s v="EFIS"/>
    <s v="NQN"/>
    <m/>
    <s v="Warehouse"/>
    <x v="0"/>
    <m/>
    <m/>
    <m/>
    <m/>
    <m/>
    <s v="Headcount"/>
    <m/>
    <x v="0"/>
  </r>
  <r>
    <x v="67"/>
    <m/>
    <x v="401"/>
    <s v="Sup Eléctrico COM y PEM"/>
    <s v="Supervisoroperativo/Producción"/>
    <s v="San Martin Gustavo"/>
    <s v="EFIS"/>
    <s v="NQN"/>
    <m/>
    <s v="Maintenance"/>
    <x v="0"/>
    <m/>
    <m/>
    <m/>
    <m/>
    <m/>
    <s v="Headcount"/>
    <m/>
    <x v="0"/>
  </r>
  <r>
    <x v="67"/>
    <m/>
    <x v="402"/>
    <s v="Sup Eléctrico COM y PEM"/>
    <s v="Supervisoroperativo/Producción"/>
    <s v="San Martin Gustavo"/>
    <s v="EFIS"/>
    <s v="NQN"/>
    <m/>
    <s v="Maintenance"/>
    <x v="0"/>
    <m/>
    <m/>
    <m/>
    <m/>
    <m/>
    <s v="Headcount"/>
    <m/>
    <x v="0"/>
  </r>
  <r>
    <x v="67"/>
    <m/>
    <x v="403"/>
    <s v="Sup Eléctrico COM y PEM"/>
    <s v="Supervisoroperativo/Producción"/>
    <s v="San Martin Gustavo"/>
    <s v="EFIS"/>
    <s v="NQN"/>
    <m/>
    <s v="Maintenance"/>
    <x v="0"/>
    <m/>
    <m/>
    <m/>
    <m/>
    <m/>
    <s v="Headcount"/>
    <m/>
    <x v="0"/>
  </r>
  <r>
    <x v="19"/>
    <m/>
    <x v="404"/>
    <s v="Otras especialidades"/>
    <e v="#N/A"/>
    <s v="Camps Yain"/>
    <s v="EFIS"/>
    <s v="NQN"/>
    <m/>
    <s v="Operations"/>
    <x v="0"/>
    <m/>
    <m/>
    <m/>
    <m/>
    <m/>
    <s v="Headcount"/>
    <m/>
    <x v="0"/>
  </r>
  <r>
    <x v="19"/>
    <m/>
    <x v="405"/>
    <s v="Otras especialidades"/>
    <e v="#N/A"/>
    <s v="Camps Yain"/>
    <s v="EFIS"/>
    <s v="NQN"/>
    <m/>
    <s v="Operations"/>
    <x v="0"/>
    <m/>
    <m/>
    <m/>
    <m/>
    <m/>
    <s v="Headcount"/>
    <m/>
    <x v="0"/>
  </r>
  <r>
    <x v="68"/>
    <m/>
    <x v="68"/>
    <s v="Mtto Mecánico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8"/>
    <m/>
    <x v="68"/>
    <s v="Mtto Mecánico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8"/>
    <m/>
    <x v="68"/>
    <s v="Mtto Mecánico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8"/>
    <m/>
    <x v="68"/>
    <s v="Mtto Mecánico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8"/>
    <m/>
    <x v="406"/>
    <s v="Mtto Mecánico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8"/>
    <m/>
    <x v="407"/>
    <s v="Mtto Mecánico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8"/>
    <m/>
    <x v="408"/>
    <s v="Mtto Mecánico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8"/>
    <m/>
    <x v="409"/>
    <s v="Mtto Mecánico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9"/>
    <m/>
    <x v="410"/>
    <s v="Instrumentistas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9"/>
    <m/>
    <x v="411"/>
    <s v="Instrumentistas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9"/>
    <m/>
    <x v="412"/>
    <s v="Instrumentistas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9"/>
    <m/>
    <x v="413"/>
    <s v="Instrumentistas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9"/>
    <m/>
    <x v="68"/>
    <s v="Instrumentistas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9"/>
    <m/>
    <x v="68"/>
    <s v="Instrumentistas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9"/>
    <m/>
    <x v="68"/>
    <s v="Instrumentistas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69"/>
    <m/>
    <x v="68"/>
    <s v="Instrumentistas LT2E"/>
    <e v="#N/A"/>
    <s v="MERCADO, MAURICIO / FREDES, RUBEN"/>
    <s v="EFIS"/>
    <s v="NQN"/>
    <s v="1016733"/>
    <s v="Maintenance"/>
    <x v="1"/>
    <m/>
    <m/>
    <m/>
    <m/>
    <m/>
    <s v="Headcount"/>
    <m/>
    <x v="0"/>
  </r>
  <r>
    <x v="70"/>
    <m/>
    <x v="68"/>
    <e v="#N/A"/>
    <e v="#N/A"/>
    <n v="0"/>
    <s v="EFIS"/>
    <s v="NQN"/>
    <s v="1016733"/>
    <s v="Maintenance"/>
    <x v="1"/>
    <m/>
    <m/>
    <m/>
    <m/>
    <m/>
    <s v="Headcount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B3F07-3276-4285-B0AB-16B76015BFA5}" name="PivotTable1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h="1" x="25"/>
        <item h="1" x="26"/>
        <item h="1" x="3"/>
        <item x="20"/>
        <item h="1" x="28"/>
        <item h="1" x="16"/>
        <item x="30"/>
        <item h="1" x="13"/>
        <item h="1" x="17"/>
        <item h="1" x="9"/>
        <item x="5"/>
        <item h="1" x="19"/>
        <item h="1" x="24"/>
        <item h="1" x="2"/>
        <item h="1" x="23"/>
        <item h="1" x="10"/>
        <item m="1" x="42"/>
        <item h="1" x="7"/>
        <item h="1" x="27"/>
        <item h="1" x="29"/>
        <item h="1" x="14"/>
        <item h="1" x="4"/>
        <item h="1" x="1"/>
        <item x="37"/>
        <item h="1" x="0"/>
        <item h="1" x="15"/>
        <item h="1" x="22"/>
        <item m="1" x="41"/>
        <item m="1" x="43"/>
        <item h="1" m="1" x="40"/>
        <item x="36"/>
        <item h="1" x="8"/>
        <item x="39"/>
        <item h="1" x="18"/>
        <item h="1" x="6"/>
        <item h="1" x="11"/>
        <item h="1" x="21"/>
        <item h="1" x="31"/>
        <item h="1" x="12"/>
        <item h="1" x="32"/>
        <item h="1" x="33"/>
        <item h="1" x="34"/>
        <item h="1" x="35"/>
        <item h="1" x="38"/>
        <item t="default"/>
      </items>
    </pivotField>
    <pivotField showAll="0"/>
    <pivotField showAll="0"/>
    <pivotField dataField="1" showAll="0"/>
    <pivotField axis="axisRow" showAll="0">
      <items count="70">
        <item x="46"/>
        <item x="52"/>
        <item x="25"/>
        <item x="54"/>
        <item x="60"/>
        <item x="55"/>
        <item x="43"/>
        <item x="59"/>
        <item x="50"/>
        <item x="51"/>
        <item x="6"/>
        <item x="10"/>
        <item x="61"/>
        <item x="44"/>
        <item x="18"/>
        <item x="49"/>
        <item x="27"/>
        <item x="35"/>
        <item x="48"/>
        <item x="26"/>
        <item x="34"/>
        <item x="4"/>
        <item x="28"/>
        <item x="36"/>
        <item x="45"/>
        <item x="11"/>
        <item x="58"/>
        <item x="32"/>
        <item x="38"/>
        <item x="39"/>
        <item x="16"/>
        <item x="40"/>
        <item x="22"/>
        <item x="31"/>
        <item x="13"/>
        <item x="62"/>
        <item x="9"/>
        <item x="5"/>
        <item x="15"/>
        <item m="1" x="64"/>
        <item m="1" x="65"/>
        <item m="1" x="66"/>
        <item m="1" x="67"/>
        <item x="63"/>
        <item x="7"/>
        <item x="30"/>
        <item x="29"/>
        <item x="37"/>
        <item x="0"/>
        <item x="56"/>
        <item x="57"/>
        <item x="24"/>
        <item x="41"/>
        <item x="42"/>
        <item x="23"/>
        <item x="33"/>
        <item m="1" x="68"/>
        <item x="1"/>
        <item x="2"/>
        <item x="3"/>
        <item x="8"/>
        <item x="12"/>
        <item x="14"/>
        <item x="19"/>
        <item x="20"/>
        <item x="21"/>
        <item x="47"/>
        <item x="53"/>
        <item x="17"/>
        <item t="default"/>
      </items>
    </pivotField>
  </pivotFields>
  <rowFields count="2">
    <field x="9"/>
    <field x="13"/>
  </rowFields>
  <rowItems count="52">
    <i>
      <x v="3"/>
    </i>
    <i r="1">
      <x v="3"/>
    </i>
    <i r="1">
      <x v="5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5"/>
    </i>
    <i r="1">
      <x v="27"/>
    </i>
    <i r="1">
      <x v="32"/>
    </i>
    <i r="1">
      <x v="33"/>
    </i>
    <i r="1">
      <x v="46"/>
    </i>
    <i r="1">
      <x v="47"/>
    </i>
    <i r="1">
      <x v="51"/>
    </i>
    <i r="1">
      <x v="54"/>
    </i>
    <i r="1">
      <x v="55"/>
    </i>
    <i>
      <x v="6"/>
    </i>
    <i r="1">
      <x v="2"/>
    </i>
    <i r="1">
      <x v="6"/>
    </i>
    <i r="1">
      <x v="24"/>
    </i>
    <i r="1">
      <x v="28"/>
    </i>
    <i r="1">
      <x v="29"/>
    </i>
    <i r="1">
      <x v="30"/>
    </i>
    <i r="1">
      <x v="31"/>
    </i>
    <i r="1">
      <x v="49"/>
    </i>
    <i r="1">
      <x v="52"/>
    </i>
    <i r="1">
      <x v="53"/>
    </i>
    <i>
      <x v="10"/>
    </i>
    <i r="1">
      <x v="1"/>
    </i>
    <i r="1">
      <x v="8"/>
    </i>
    <i r="1">
      <x v="9"/>
    </i>
    <i r="1">
      <x v="14"/>
    </i>
    <i r="1">
      <x v="15"/>
    </i>
    <i r="1">
      <x v="18"/>
    </i>
    <i r="1">
      <x v="21"/>
    </i>
    <i r="1">
      <x v="45"/>
    </i>
    <i r="1">
      <x v="50"/>
    </i>
    <i r="1">
      <x v="52"/>
    </i>
    <i>
      <x v="23"/>
    </i>
    <i r="1">
      <x/>
    </i>
    <i r="1">
      <x v="66"/>
    </i>
    <i r="1">
      <x v="67"/>
    </i>
    <i>
      <x v="30"/>
    </i>
    <i r="1">
      <x v="13"/>
    </i>
    <i r="1">
      <x v="14"/>
    </i>
    <i>
      <x v="32"/>
    </i>
    <i r="1">
      <x v="12"/>
    </i>
    <i r="1">
      <x v="35"/>
    </i>
    <i r="1">
      <x v="43"/>
    </i>
    <i t="grand">
      <x/>
    </i>
  </rowItems>
  <colItems count="1">
    <i/>
  </colItems>
  <dataFields count="1">
    <dataField name="Count of DESCRIPCION_PERSON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2E5D6-6988-4061-99AF-C542E2D8E9AB}" name="PivotTable1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11" firstHeaderRow="1" firstDataRow="2" firstDataCol="1" rowPageCount="1" colPageCount="1"/>
  <pivotFields count="19">
    <pivotField axis="axisRow" showAll="0">
      <items count="74">
        <item h="1" x="58"/>
        <item h="1" x="59"/>
        <item h="1" x="32"/>
        <item h="1" x="33"/>
        <item h="1" x="31"/>
        <item h="1" x="36"/>
        <item h="1" x="35"/>
        <item h="1" x="34"/>
        <item h="1" x="37"/>
        <item h="1" x="55"/>
        <item x="45"/>
        <item x="47"/>
        <item x="46"/>
        <item x="39"/>
        <item x="38"/>
        <item x="16"/>
        <item x="40"/>
        <item x="42"/>
        <item x="4"/>
        <item x="49"/>
        <item x="48"/>
        <item x="50"/>
        <item x="30"/>
        <item x="41"/>
        <item x="52"/>
        <item x="51"/>
        <item x="56"/>
        <item x="25"/>
        <item x="43"/>
        <item x="18"/>
        <item h="1" x="11"/>
        <item h="1" x="23"/>
        <item h="1" x="22"/>
        <item h="1" x="28"/>
        <item h="1" x="27"/>
        <item h="1" x="26"/>
        <item h="1" x="29"/>
        <item h="1" x="54"/>
        <item h="1" x="3"/>
        <item h="1" x="1"/>
        <item h="1" x="24"/>
        <item h="1" x="9"/>
        <item h="1" x="10"/>
        <item h="1" x="15"/>
        <item h="1" x="6"/>
        <item h="1" x="7"/>
        <item x="0"/>
        <item h="1" m="1" x="72"/>
        <item h="1" m="1" x="71"/>
        <item h="1" x="12"/>
        <item x="13"/>
        <item h="1" x="14"/>
        <item h="1" x="70"/>
        <item h="1" x="2"/>
        <item h="1" x="5"/>
        <item h="1" x="8"/>
        <item h="1" x="19"/>
        <item h="1" x="20"/>
        <item h="1" x="21"/>
        <item h="1" x="44"/>
        <item h="1" x="53"/>
        <item h="1" x="57"/>
        <item h="1" x="60"/>
        <item h="1" x="61"/>
        <item h="1" x="62"/>
        <item h="1" x="63"/>
        <item h="1" x="64"/>
        <item h="1" x="65"/>
        <item h="1" x="66"/>
        <item h="1" x="67"/>
        <item h="1" x="17"/>
        <item h="1" x="68"/>
        <item h="1" x="69"/>
        <item t="default"/>
      </items>
    </pivotField>
    <pivotField dataField="1" showAll="0"/>
    <pivotField axis="axisRow" multipleItemSelectionAllowed="1" showAll="0">
      <items count="479">
        <item x="223"/>
        <item m="1" x="453"/>
        <item x="86"/>
        <item x="140"/>
        <item x="56"/>
        <item x="54"/>
        <item m="1" x="454"/>
        <item x="81"/>
        <item x="261"/>
        <item x="168"/>
        <item x="260"/>
        <item x="7"/>
        <item m="1" x="456"/>
        <item x="412"/>
        <item x="15"/>
        <item x="55"/>
        <item x="117"/>
        <item x="247"/>
        <item x="154"/>
        <item x="217"/>
        <item x="148"/>
        <item x="150"/>
        <item x="275"/>
        <item x="16"/>
        <item x="373"/>
        <item x="2"/>
        <item x="9"/>
        <item x="103"/>
        <item x="237"/>
        <item x="97"/>
        <item x="50"/>
        <item x="300"/>
        <item m="1" x="460"/>
        <item x="221"/>
        <item x="408"/>
        <item x="304"/>
        <item m="1" x="426"/>
        <item x="125"/>
        <item x="132"/>
        <item x="305"/>
        <item x="65"/>
        <item x="118"/>
        <item x="232"/>
        <item x="130"/>
        <item x="257"/>
        <item x="185"/>
        <item x="10"/>
        <item m="1" x="450"/>
        <item x="160"/>
        <item x="109"/>
        <item x="212"/>
        <item x="107"/>
        <item x="67"/>
        <item x="253"/>
        <item m="1" x="443"/>
        <item x="47"/>
        <item m="1" x="447"/>
        <item m="1" x="442"/>
        <item x="166"/>
        <item x="291"/>
        <item x="164"/>
        <item x="6"/>
        <item x="236"/>
        <item x="284"/>
        <item x="37"/>
        <item m="1" x="468"/>
        <item x="293"/>
        <item x="193"/>
        <item x="157"/>
        <item m="1" x="437"/>
        <item x="114"/>
        <item x="225"/>
        <item x="201"/>
        <item x="171"/>
        <item x="410"/>
        <item m="1" x="470"/>
        <item x="32"/>
        <item x="24"/>
        <item x="176"/>
        <item m="1" x="445"/>
        <item x="268"/>
        <item x="272"/>
        <item x="213"/>
        <item x="39"/>
        <item x="91"/>
        <item x="84"/>
        <item x="242"/>
        <item x="29"/>
        <item x="228"/>
        <item x="141"/>
        <item x="121"/>
        <item x="216"/>
        <item x="320"/>
        <item x="63"/>
        <item x="195"/>
        <item m="1" x="423"/>
        <item x="279"/>
        <item x="4"/>
        <item x="133"/>
        <item x="104"/>
        <item x="96"/>
        <item m="1" x="449"/>
        <item x="288"/>
        <item x="302"/>
        <item x="245"/>
        <item x="230"/>
        <item x="227"/>
        <item x="290"/>
        <item x="285"/>
        <item m="1" x="455"/>
        <item x="222"/>
        <item x="126"/>
        <item m="1" x="461"/>
        <item m="1" x="441"/>
        <item x="259"/>
        <item x="101"/>
        <item x="218"/>
        <item x="220"/>
        <item x="28"/>
        <item x="161"/>
        <item x="262"/>
        <item x="83"/>
        <item x="52"/>
        <item x="88"/>
        <item x="155"/>
        <item x="100"/>
        <item x="142"/>
        <item m="1" x="467"/>
        <item x="282"/>
        <item x="167"/>
        <item x="113"/>
        <item x="119"/>
        <item x="34"/>
        <item x="184"/>
        <item m="1" x="422"/>
        <item x="295"/>
        <item m="1" x="476"/>
        <item x="252"/>
        <item x="208"/>
        <item m="1" x="421"/>
        <item x="234"/>
        <item x="0"/>
        <item x="8"/>
        <item x="44"/>
        <item m="1" x="429"/>
        <item x="273"/>
        <item x="134"/>
        <item x="145"/>
        <item x="406"/>
        <item x="105"/>
        <item x="274"/>
        <item x="380"/>
        <item x="92"/>
        <item x="306"/>
        <item x="177"/>
        <item x="219"/>
        <item x="57"/>
        <item x="111"/>
        <item x="152"/>
        <item x="250"/>
        <item m="1" x="424"/>
        <item x="158"/>
        <item x="243"/>
        <item x="198"/>
        <item x="203"/>
        <item m="1" x="431"/>
        <item x="235"/>
        <item x="294"/>
        <item x="106"/>
        <item x="115"/>
        <item x="254"/>
        <item x="116"/>
        <item x="256"/>
        <item x="90"/>
        <item x="287"/>
        <item x="174"/>
        <item x="82"/>
        <item x="189"/>
        <item x="135"/>
        <item x="48"/>
        <item m="1" x="436"/>
        <item x="156"/>
        <item x="312"/>
        <item x="110"/>
        <item x="61"/>
        <item m="1" x="433"/>
        <item x="224"/>
        <item x="190"/>
        <item x="27"/>
        <item m="1" x="432"/>
        <item m="1" x="439"/>
        <item x="215"/>
        <item x="276"/>
        <item x="170"/>
        <item x="59"/>
        <item x="53"/>
        <item x="249"/>
        <item x="163"/>
        <item x="162"/>
        <item x="136"/>
        <item x="269"/>
        <item x="296"/>
        <item x="122"/>
        <item x="127"/>
        <item x="123"/>
        <item x="229"/>
        <item x="144"/>
        <item x="147"/>
        <item x="36"/>
        <item x="199"/>
        <item x="169"/>
        <item x="172"/>
        <item x="271"/>
        <item x="214"/>
        <item x="240"/>
        <item m="1" x="451"/>
        <item x="146"/>
        <item x="108"/>
        <item m="1" x="452"/>
        <item x="153"/>
        <item x="355"/>
        <item x="137"/>
        <item x="58"/>
        <item x="286"/>
        <item x="226"/>
        <item x="179"/>
        <item x="23"/>
        <item x="40"/>
        <item m="1" x="434"/>
        <item x="248"/>
        <item x="205"/>
        <item x="354"/>
        <item x="143"/>
        <item x="270"/>
        <item x="233"/>
        <item x="42"/>
        <item m="1" x="471"/>
        <item x="211"/>
        <item x="303"/>
        <item x="292"/>
        <item x="307"/>
        <item x="255"/>
        <item x="407"/>
        <item x="124"/>
        <item x="187"/>
        <item m="1" x="458"/>
        <item x="231"/>
        <item x="372"/>
        <item x="188"/>
        <item x="308"/>
        <item m="1" x="457"/>
        <item x="33"/>
        <item x="26"/>
        <item m="1" x="466"/>
        <item x="139"/>
        <item x="89"/>
        <item x="85"/>
        <item x="200"/>
        <item m="1" x="428"/>
        <item x="64"/>
        <item x="337"/>
        <item x="266"/>
        <item x="99"/>
        <item x="43"/>
        <item x="87"/>
        <item x="17"/>
        <item m="1" x="425"/>
        <item x="159"/>
        <item m="1" x="462"/>
        <item x="280"/>
        <item m="1" x="459"/>
        <item m="1" x="475"/>
        <item m="1" x="463"/>
        <item m="1" x="477"/>
        <item m="1" x="427"/>
        <item m="1" x="474"/>
        <item m="1" x="465"/>
        <item m="1" x="472"/>
        <item m="1" x="473"/>
        <item x="93"/>
        <item x="411"/>
        <item x="244"/>
        <item x="238"/>
        <item x="112"/>
        <item x="138"/>
        <item x="298"/>
        <item x="313"/>
        <item x="173"/>
        <item x="151"/>
        <item x="128"/>
        <item x="165"/>
        <item x="315"/>
        <item x="45"/>
        <item x="301"/>
        <item x="206"/>
        <item x="258"/>
        <item x="186"/>
        <item x="60"/>
        <item x="265"/>
        <item x="149"/>
        <item m="1" x="469"/>
        <item x="178"/>
        <item x="297"/>
        <item x="328"/>
        <item x="204"/>
        <item x="209"/>
        <item x="210"/>
        <item m="1" x="464"/>
        <item x="207"/>
        <item x="309"/>
        <item m="1" x="420"/>
        <item x="25"/>
        <item m="1" x="430"/>
        <item x="62"/>
        <item m="1" x="435"/>
        <item m="1" x="438"/>
        <item m="1" x="440"/>
        <item m="1" x="444"/>
        <item m="1" x="446"/>
        <item m="1" x="448"/>
        <item x="68"/>
        <item x="120"/>
        <item x="1"/>
        <item x="3"/>
        <item x="5"/>
        <item x="11"/>
        <item x="12"/>
        <item x="13"/>
        <item x="14"/>
        <item m="1" x="414"/>
        <item x="19"/>
        <item x="20"/>
        <item x="21"/>
        <item x="22"/>
        <item x="30"/>
        <item x="31"/>
        <item x="35"/>
        <item x="38"/>
        <item x="41"/>
        <item x="46"/>
        <item x="399"/>
        <item x="51"/>
        <item m="1" x="415"/>
        <item m="1" x="416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94"/>
        <item x="95"/>
        <item x="98"/>
        <item x="102"/>
        <item x="129"/>
        <item x="131"/>
        <item x="175"/>
        <item x="180"/>
        <item x="181"/>
        <item x="182"/>
        <item x="183"/>
        <item x="191"/>
        <item x="192"/>
        <item x="194"/>
        <item x="196"/>
        <item x="197"/>
        <item x="202"/>
        <item x="239"/>
        <item x="246"/>
        <item x="263"/>
        <item x="413"/>
        <item x="267"/>
        <item x="277"/>
        <item x="278"/>
        <item m="1" x="417"/>
        <item x="283"/>
        <item x="289"/>
        <item x="299"/>
        <item x="310"/>
        <item x="311"/>
        <item x="314"/>
        <item x="316"/>
        <item x="317"/>
        <item x="318"/>
        <item x="319"/>
        <item x="321"/>
        <item x="322"/>
        <item x="323"/>
        <item x="324"/>
        <item x="325"/>
        <item x="326"/>
        <item x="327"/>
        <item x="329"/>
        <item m="1" x="418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409"/>
        <item x="330"/>
        <item x="391"/>
        <item x="281"/>
        <item x="392"/>
        <item x="393"/>
        <item x="394"/>
        <item x="395"/>
        <item x="396"/>
        <item x="397"/>
        <item x="398"/>
        <item x="400"/>
        <item m="1" x="419"/>
        <item x="402"/>
        <item x="403"/>
        <item x="404"/>
        <item x="405"/>
        <item x="18"/>
        <item x="49"/>
        <item x="66"/>
        <item x="241"/>
        <item x="251"/>
        <item x="264"/>
        <item x="4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m="1" x="8"/>
        <item x="4"/>
        <item m="1" x="7"/>
        <item x="0"/>
        <item x="2"/>
        <item m="1" x="6"/>
        <item x="1"/>
        <item x="3"/>
        <item x="5"/>
        <item t="default"/>
      </items>
    </pivotField>
  </pivotFields>
  <rowFields count="2">
    <field x="0"/>
    <field x="2"/>
  </rowFields>
  <rowItems count="207">
    <i>
      <x v="10"/>
    </i>
    <i r="1">
      <x/>
    </i>
    <i r="1">
      <x v="19"/>
    </i>
    <i r="1">
      <x v="33"/>
    </i>
    <i r="1">
      <x v="50"/>
    </i>
    <i r="1">
      <x v="71"/>
    </i>
    <i r="1">
      <x v="82"/>
    </i>
    <i r="1">
      <x v="86"/>
    </i>
    <i r="1">
      <x v="91"/>
    </i>
    <i r="1">
      <x v="106"/>
    </i>
    <i r="1">
      <x v="110"/>
    </i>
    <i r="1">
      <x v="116"/>
    </i>
    <i r="1">
      <x v="117"/>
    </i>
    <i r="1">
      <x v="155"/>
    </i>
    <i r="1">
      <x v="186"/>
    </i>
    <i r="1">
      <x v="191"/>
    </i>
    <i r="1">
      <x v="213"/>
    </i>
    <i r="1">
      <x v="224"/>
    </i>
    <i r="1">
      <x v="237"/>
    </i>
    <i>
      <x v="11"/>
    </i>
    <i r="1">
      <x v="28"/>
    </i>
    <i r="1">
      <x v="62"/>
    </i>
    <i r="1">
      <x v="140"/>
    </i>
    <i r="1">
      <x v="166"/>
    </i>
    <i r="1">
      <x v="234"/>
    </i>
    <i r="1">
      <x v="282"/>
    </i>
    <i r="1">
      <x v="373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50"/>
    </i>
    <i r="1">
      <x v="451"/>
    </i>
    <i r="1">
      <x v="452"/>
    </i>
    <i r="1">
      <x v="453"/>
    </i>
    <i>
      <x v="12"/>
    </i>
    <i r="1">
      <x v="42"/>
    </i>
    <i r="1">
      <x v="88"/>
    </i>
    <i r="1">
      <x v="105"/>
    </i>
    <i r="1">
      <x v="205"/>
    </i>
    <i r="1">
      <x v="246"/>
    </i>
    <i>
      <x v="13"/>
    </i>
    <i r="1">
      <x v="60"/>
    </i>
    <i r="1">
      <x v="73"/>
    </i>
    <i r="1">
      <x v="78"/>
    </i>
    <i r="1">
      <x v="119"/>
    </i>
    <i r="1">
      <x v="129"/>
    </i>
    <i r="1">
      <x v="154"/>
    </i>
    <i r="1">
      <x v="193"/>
    </i>
    <i r="1">
      <x v="210"/>
    </i>
    <i r="1">
      <x v="211"/>
    </i>
    <i r="1">
      <x v="287"/>
    </i>
    <i r="1">
      <x v="362"/>
    </i>
    <i r="1">
      <x v="409"/>
    </i>
    <i r="1">
      <x v="427"/>
    </i>
    <i r="1">
      <x v="428"/>
    </i>
    <i>
      <x v="14"/>
    </i>
    <i r="1">
      <x v="48"/>
    </i>
    <i r="1">
      <x v="58"/>
    </i>
    <i r="1">
      <x v="161"/>
    </i>
    <i r="1">
      <x v="175"/>
    </i>
    <i r="1">
      <x v="177"/>
    </i>
    <i r="1">
      <x v="197"/>
    </i>
    <i r="1">
      <x v="198"/>
    </i>
    <i r="1">
      <x v="267"/>
    </i>
    <i r="1">
      <x v="290"/>
    </i>
    <i>
      <x v="15"/>
    </i>
    <i r="1">
      <x v="40"/>
    </i>
    <i r="1">
      <x v="67"/>
    </i>
    <i r="1">
      <x v="94"/>
    </i>
    <i r="1">
      <x v="163"/>
    </i>
    <i r="1">
      <x v="182"/>
    </i>
    <i r="1">
      <x v="209"/>
    </i>
    <i r="1">
      <x v="257"/>
    </i>
    <i r="1">
      <x v="286"/>
    </i>
    <i r="1">
      <x v="291"/>
    </i>
    <i r="1">
      <x v="367"/>
    </i>
    <i r="1">
      <x v="369"/>
    </i>
    <i r="1">
      <x v="370"/>
    </i>
    <i r="1">
      <x v="371"/>
    </i>
    <i r="1">
      <x v="386"/>
    </i>
    <i>
      <x v="16"/>
    </i>
    <i r="1">
      <x v="9"/>
    </i>
    <i r="1">
      <x v="45"/>
    </i>
    <i r="1">
      <x v="133"/>
    </i>
    <i r="1">
      <x v="187"/>
    </i>
    <i r="1">
      <x v="225"/>
    </i>
    <i r="1">
      <x v="244"/>
    </i>
    <i r="1">
      <x v="248"/>
    </i>
    <i r="1">
      <x v="296"/>
    </i>
    <i r="1">
      <x v="301"/>
    </i>
    <i r="1">
      <x v="320"/>
    </i>
    <i r="1">
      <x v="363"/>
    </i>
    <i r="1">
      <x v="364"/>
    </i>
    <i r="1">
      <x v="365"/>
    </i>
    <i r="1">
      <x v="366"/>
    </i>
    <i r="1">
      <x v="456"/>
    </i>
    <i r="1">
      <x v="458"/>
    </i>
    <i>
      <x v="17"/>
    </i>
    <i r="1">
      <x v="164"/>
    </i>
    <i r="1">
      <x v="304"/>
    </i>
    <i r="1">
      <x v="309"/>
    </i>
    <i r="1">
      <x v="372"/>
    </i>
    <i r="1">
      <x v="449"/>
    </i>
    <i>
      <x v="18"/>
    </i>
    <i r="1">
      <x v="53"/>
    </i>
    <i r="1">
      <x v="137"/>
    </i>
    <i r="1">
      <x v="170"/>
    </i>
    <i r="1">
      <x v="172"/>
    </i>
    <i r="1">
      <x v="241"/>
    </i>
    <i r="1">
      <x v="326"/>
    </i>
    <i r="1">
      <x v="426"/>
    </i>
    <i r="1">
      <x v="475"/>
    </i>
    <i>
      <x v="19"/>
    </i>
    <i r="1">
      <x v="17"/>
    </i>
    <i r="1">
      <x v="159"/>
    </i>
    <i r="1">
      <x v="196"/>
    </i>
    <i r="1">
      <x v="229"/>
    </i>
    <i>
      <x v="20"/>
    </i>
    <i r="1">
      <x v="104"/>
    </i>
    <i r="1">
      <x v="162"/>
    </i>
    <i r="1">
      <x v="214"/>
    </i>
    <i r="1">
      <x v="231"/>
    </i>
    <i r="1">
      <x v="281"/>
    </i>
    <i r="1">
      <x v="374"/>
    </i>
    <i r="1">
      <x v="474"/>
    </i>
    <i>
      <x v="21"/>
    </i>
    <i r="1">
      <x v="92"/>
    </i>
    <i r="1">
      <x v="261"/>
    </i>
    <i r="1">
      <x v="298"/>
    </i>
    <i r="1">
      <x v="375"/>
    </i>
    <i r="1">
      <x v="377"/>
    </i>
    <i r="1">
      <x v="388"/>
    </i>
    <i r="1">
      <x v="389"/>
    </i>
    <i r="1">
      <x v="390"/>
    </i>
    <i r="1">
      <x v="476"/>
    </i>
    <i>
      <x v="22"/>
    </i>
    <i r="1">
      <x v="8"/>
    </i>
    <i r="1">
      <x v="10"/>
    </i>
    <i r="1">
      <x v="44"/>
    </i>
    <i r="1">
      <x v="114"/>
    </i>
    <i r="1">
      <x v="120"/>
    </i>
    <i r="1">
      <x v="295"/>
    </i>
    <i r="1">
      <x v="321"/>
    </i>
    <i>
      <x v="23"/>
    </i>
    <i r="1">
      <x v="72"/>
    </i>
    <i r="1">
      <x v="80"/>
    </i>
    <i r="1">
      <x v="81"/>
    </i>
    <i r="1">
      <x v="212"/>
    </i>
    <i r="1">
      <x v="233"/>
    </i>
    <i>
      <x v="24"/>
    </i>
    <i r="1">
      <x v="22"/>
    </i>
    <i r="1">
      <x v="145"/>
    </i>
    <i r="1">
      <x v="150"/>
    </i>
    <i r="1">
      <x v="192"/>
    </i>
    <i r="1">
      <x v="457"/>
    </i>
    <i>
      <x v="25"/>
    </i>
    <i r="1">
      <x v="96"/>
    </i>
    <i r="1">
      <x v="200"/>
    </i>
    <i r="1">
      <x v="269"/>
    </i>
    <i r="1">
      <x v="379"/>
    </i>
    <i>
      <x v="26"/>
    </i>
    <i r="1">
      <x v="66"/>
    </i>
    <i r="1">
      <x v="135"/>
    </i>
    <i r="1">
      <x v="167"/>
    </i>
    <i r="1">
      <x v="201"/>
    </i>
    <i r="1">
      <x v="285"/>
    </i>
    <i r="1">
      <x v="302"/>
    </i>
    <i>
      <x v="27"/>
    </i>
    <i r="1">
      <x v="29"/>
    </i>
    <i r="1">
      <x v="59"/>
    </i>
    <i r="1">
      <x v="63"/>
    </i>
    <i r="1">
      <x v="102"/>
    </i>
    <i r="1">
      <x v="107"/>
    </i>
    <i r="1">
      <x v="108"/>
    </i>
    <i r="1">
      <x v="223"/>
    </i>
    <i r="1">
      <x v="239"/>
    </i>
    <i r="1">
      <x v="358"/>
    </i>
    <i r="1">
      <x v="382"/>
    </i>
    <i>
      <x v="28"/>
    </i>
    <i r="1">
      <x v="128"/>
    </i>
    <i r="1">
      <x v="230"/>
    </i>
    <i r="1">
      <x v="294"/>
    </i>
    <i>
      <x v="29"/>
    </i>
    <i r="1">
      <x v="138"/>
    </i>
    <i r="1">
      <x v="305"/>
    </i>
    <i r="1">
      <x v="306"/>
    </i>
    <i r="1">
      <x v="345"/>
    </i>
    <i>
      <x v="46"/>
    </i>
    <i r="1">
      <x v="14"/>
    </i>
    <i r="1">
      <x v="25"/>
    </i>
    <i r="1">
      <x v="97"/>
    </i>
    <i r="1">
      <x v="141"/>
    </i>
    <i r="1">
      <x v="322"/>
    </i>
    <i r="1">
      <x v="323"/>
    </i>
    <i r="1">
      <x v="328"/>
    </i>
    <i>
      <x v="50"/>
    </i>
    <i r="1">
      <x v="5"/>
    </i>
    <i r="1">
      <x v="15"/>
    </i>
    <i r="1">
      <x v="122"/>
    </i>
    <i r="1">
      <x v="195"/>
    </i>
    <i t="grand">
      <x/>
    </i>
  </rowItems>
  <colFields count="1">
    <field x="18"/>
  </colFields>
  <colItems count="4">
    <i>
      <x v="3"/>
    </i>
    <i>
      <x v="7"/>
    </i>
    <i>
      <x v="8"/>
    </i>
    <i t="grand">
      <x/>
    </i>
  </colItems>
  <pageFields count="1">
    <pageField fld="10" hier="-1"/>
  </pageFields>
  <dataFields count="1">
    <dataField name="Count of PERSONA" fld="1" subtotal="count" baseField="0" baseItem="0"/>
  </dataFields>
  <formats count="5">
    <format dxfId="69">
      <pivotArea outline="0" collapsedLevelsAreSubtotals="1" fieldPosition="0"/>
    </format>
    <format dxfId="70">
      <pivotArea field="18" type="button" dataOnly="0" labelOnly="1" outline="0" axis="axisCol" fieldPosition="0"/>
    </format>
    <format dxfId="71">
      <pivotArea type="topRight" dataOnly="0" labelOnly="1" outline="0" fieldPosition="0"/>
    </format>
    <format dxfId="72">
      <pivotArea dataOnly="0" labelOnly="1" fieldPosition="0">
        <references count="1">
          <reference field="18" count="0"/>
        </references>
      </pivotArea>
    </format>
    <format dxfId="7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C2241-4DB7-4443-AFFC-EB493D2AF4AC}" name="Table1" displayName="Table1" ref="A1:AK443" totalsRowShown="0" headerRowDxfId="40" dataDxfId="39" headerRowBorderDxfId="37" tableBorderDxfId="38">
  <autoFilter ref="A1:AK443" xr:uid="{0F9C2241-4DB7-4443-AFFC-EB493D2AF4AC}"/>
  <tableColumns count="37">
    <tableColumn id="1" xr3:uid="{607D7DF1-4F55-421F-A0E6-E225ED6B03AC}" name="ANIO_NATURAL_MES" dataDxfId="36"/>
    <tableColumn id="2" xr3:uid="{59F3D05D-F0AC-4BC4-9C43-FD91D406F567}" name="POSICION" dataDxfId="35"/>
    <tableColumn id="3" xr3:uid="{55679DA9-5AD5-46A0-8FC4-3114F8FA7730}" name="DESCRIPCION_POSICION" dataDxfId="34"/>
    <tableColumn id="4" xr3:uid="{EAF28819-63BB-4CFB-972B-FD1A557343B6}" name="AREA_FUNCIONAL" dataDxfId="33"/>
    <tableColumn id="5" xr3:uid="{7A5A4122-E33B-4D79-9D76-D912C4D2676C}" name="SUB_AREA_FUNCIONAL" dataDxfId="32"/>
    <tableColumn id="6" xr3:uid="{A0F8AAF4-E71D-4ACB-8C7E-0699B53C5D27}" name="FUNCION" dataDxfId="31"/>
    <tableColumn id="7" xr3:uid="{CA305F4A-FD24-409A-84EA-A91F0F8C00E2}" name="DESCRIPCION_FUNCION" dataDxfId="30"/>
    <tableColumn id="8" xr3:uid="{CA04F737-26E9-44F4-95AB-01B97BDA8975}" name="ID_META_4" dataDxfId="29"/>
    <tableColumn id="9" xr3:uid="{696FFD89-422E-4924-8F9B-AECCDC41C3C2}" name="SUBDIV_PERSONAL" dataDxfId="28"/>
    <tableColumn id="10" xr3:uid="{7B9E0AD3-DEA4-4784-9FC3-81F7767536BE}" name="SOCIEDAD" dataDxfId="27"/>
    <tableColumn id="11" xr3:uid="{34943C3B-695F-4FAE-943F-0EE57A6D734F}" name="NOMBRE_JEFE" dataDxfId="26"/>
    <tableColumn id="12" xr3:uid="{08710218-5F3A-44D5-BB23-47A5E4AAAF48}" name="OBJETO_DE_IMPUTACION" dataDxfId="25"/>
    <tableColumn id="13" xr3:uid="{D9D2549A-C1F7-4EC7-8479-A7C07CD5C826}" name="PERSONA" dataDxfId="24"/>
    <tableColumn id="14" xr3:uid="{BBB94179-FA58-4599-B2AC-BCA9C3870B21}" name="DESCRIPCION_PERSONA" dataDxfId="23"/>
    <tableColumn id="15" xr3:uid="{B96ACF13-7E2D-4596-AEFB-FE7A93C91450}" name="FLAG_LICENCIA" dataDxfId="22">
      <calculatedColumnFormula>VLOOKUP(L2,CECOs!A:B,2,0)</calculatedColumnFormula>
    </tableColumn>
    <tableColumn id="16" xr3:uid="{F0579565-BC76-49E8-A4EB-EAF754DE0563}" name="NACIONALIDAD" dataDxfId="21">
      <calculatedColumnFormula>VLOOKUP(B:B,CECOs!G:I,3,FALSE)</calculatedColumnFormula>
    </tableColumn>
    <tableColumn id="17" xr3:uid="{021DDA3A-4F22-4E6D-BE77-76251B496DC2}" name="USUARIO_DE_RED" dataDxfId="20">
      <calculatedColumnFormula>IF(_xlfn.XLOOKUP(L2,CECOs!A:A,CECOs!C:C,"")="",K2,_xlfn.XLOOKUP(L2,CECOs!A:A,CECOs!C:C,""))</calculatedColumnFormula>
    </tableColumn>
    <tableColumn id="18" xr3:uid="{311D56FC-2489-45ED-927A-C5F7787FB1C5}" name="OPERACION_PIVOT" dataDxfId="19"/>
    <tableColumn id="19" xr3:uid="{67B68037-C05F-4D03-81B0-1FE73AE74ADA}" name="OPERACION_DETALLE" dataDxfId="18"/>
    <tableColumn id="20" xr3:uid="{30F6D4D7-D789-4D42-B87E-4FE8260395C9}" name="UO" dataDxfId="17"/>
    <tableColumn id="21" xr3:uid="{7D052907-46F6-47CE-BD2B-8822CA1F9316}" name="GERENCIA_JEFATURA" dataDxfId="16"/>
    <tableColumn id="22" xr3:uid="{4AD9F3A5-D5C8-4856-84B6-C555BC0A818E}" name="WC_BC" dataDxfId="15"/>
    <tableColumn id="23" xr3:uid="{EE709473-28C9-4876-AE7F-7EA08A0C0EE9}" name="SEXO" dataDxfId="14"/>
    <tableColumn id="24" xr3:uid="{769671CA-30BB-486A-BED6-FA462834DE44}" name="RANGO_ETARIO" dataDxfId="13"/>
    <tableColumn id="25" xr3:uid="{94088582-2697-4453-BB84-577E717FF986}" name="EDAD" dataDxfId="12"/>
    <tableColumn id="26" xr3:uid="{556DD9CF-BC54-42FC-A276-26F77F23D2FA}" name="ANIOS_ANTIGUEDAD" dataDxfId="11"/>
    <tableColumn id="27" xr3:uid="{B6A32B27-19AA-4052-B137-570C0870497B}" name="GRUPO_ANTIGUEDAD" dataDxfId="10"/>
    <tableColumn id="28" xr3:uid="{037A016E-143C-4B2F-A7BE-8AF5007CC5E7}" name="FUENTE" dataDxfId="9"/>
    <tableColumn id="29" xr3:uid="{193350FF-1537-48C6-82F4-C007701B6D7A}" name="HC" dataDxfId="8"/>
    <tableColumn id="30" xr3:uid="{DE3D4472-5D33-4F0E-BC64-70860C9DE0D9}" name="EA" dataDxfId="7"/>
    <tableColumn id="31" xr3:uid="{FD032014-6DE4-48FD-A93D-D4443DFD873C}" name="BUDGET" dataDxfId="6"/>
    <tableColumn id="32" xr3:uid="{0F1773A4-1F99-416D-976A-D2032ABE4EB5}" name="ENCUADRE" dataDxfId="5"/>
    <tableColumn id="33" xr3:uid="{BA991747-F254-46E4-BB58-2328FFE8F6FE}" name="CLUSTER" dataDxfId="4"/>
    <tableColumn id="34" xr3:uid="{65A3AA4F-D92F-4C38-B19C-D23137B80B1F}" name="NO_HC" dataDxfId="3"/>
    <tableColumn id="35" xr3:uid="{4F9F02C7-9C50-42A8-90ED-0EA726AC5A2B}" name="CS" dataDxfId="2"/>
    <tableColumn id="36" xr3:uid="{7A73F269-7A52-4C15-BA3F-656A6D162743}" name="OL" dataDxfId="1"/>
    <tableColumn id="37" xr3:uid="{5ABE8E49-4E37-4EE3-9E0A-99B47E2DC07F}" name="FECHA_ANIVERSARIO_SA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1" dT="2025-09-16T16:46:04.15" personId="{651D7CB5-6725-475C-8F2A-6DA9A60AAA64}" id="{3B499A13-7A27-4538-95CC-D7FD8FB94005}">
    <text>Renuncia Marchetti 15/9/25</text>
  </threadedComment>
  <threadedComment ref="L55" dT="2026-07-20T19:53:42.21" personId="{F0B599D4-F392-47B7-895C-9544E2B9B00E}" id="{A974B8C1-1642-42BA-8D54-F5D0C86414B0}">
    <text>DAR DE BAJA POS 1/7/26</text>
  </threadedComment>
  <threadedComment ref="N59" dT="2026-07-20T19:54:04.26" personId="{F0B599D4-F392-47B7-895C-9544E2B9B00E}" id="{4F4D2E58-1496-48AE-9259-9BC05140D116}">
    <text xml:space="preserve">DAR DE BAJA POS 1/7/26
</text>
  </threadedComment>
  <threadedComment ref="N59" dT="2026-09-03T17:44:12.30" personId="{F0B599D4-F392-47B7-895C-9544E2B9B00E}" id="{8B7670A0-BB55-45E3-B9E1-AB7D643716D2}" parentId="{4F4D2E58-1496-48AE-9259-9BC05140D116}">
    <text>se baja con fecha 1/10/26</text>
  </threadedComment>
  <threadedComment ref="N69" dT="2025-04-25T11:00:43.35" personId="{651D7CB5-6725-475C-8F2A-6DA9A60AAA64}" id="{8121F8F1-AF16-403C-B9E8-8BAECA3ABBB0}">
    <text xml:space="preserve">LM
</text>
  </threadedComment>
  <threadedComment ref="N70" dT="2026-08-20T18:59:49.09" personId="{F0B599D4-F392-47B7-895C-9544E2B9B00E}" id="{22954085-04B5-414E-871A-3BA7439B2F42}">
    <text xml:space="preserve">pase Ocaranza a TECPE </text>
  </threadedComment>
  <threadedComment ref="N73" dT="2025-11-25T11:06:50.42" personId="{F0B599D4-F392-47B7-895C-9544E2B9B00E}" id="{D62B19E5-C6A6-4748-B389-04C8247FEDCE}">
    <text xml:space="preserve">renuncia Ezequiel Rodriguez 1/Dic
</text>
  </threadedComment>
  <threadedComment ref="N75" dT="2025-10-28T12:29:38.25" personId="{F0B599D4-F392-47B7-895C-9544E2B9B00E}" id="{87E22323-A294-4844-B22F-D3169C047F69}">
    <text>desvinculación Carlos Sevillano 31/10</text>
  </threadedComment>
  <threadedComment ref="N108" dT="2025-10-28T12:29:38.25" personId="{F0B599D4-F392-47B7-895C-9544E2B9B00E}" id="{90F37DB6-D6A9-40B5-A4E0-C91E4E860670}">
    <text>desvinculación Carlos Sevillano 31/10</text>
  </threadedComment>
  <threadedComment ref="N128" dT="2025-07-02T11:56:32.24" personId="{F0B599D4-F392-47B7-895C-9544E2B9B00E}" id="{F5A55AA4-11DE-45C0-940D-EC39BB0C338F}">
    <text>ROT por pase de PAMICH a TECPE</text>
  </threadedComment>
  <threadedComment ref="N191" dT="2025-04-25T10:58:54.64" personId="{651D7CB5-6725-475C-8F2A-6DA9A60AAA64}" id="{A271E7CD-FCBC-4B75-9418-C8DE2E216AB0}">
    <text>LM</text>
  </threadedComment>
  <threadedComment ref="N198" dT="2025-11-18T13:43:53.94" personId="{F0B599D4-F392-47B7-895C-9544E2B9B00E}" id="{360E8115-7935-4C79-A18E-6876B0BABC8F}">
    <text>renuncia Cabrol 14/11</text>
  </threadedComment>
  <threadedComment ref="N198" dT="2026-03-02T13:59:44.69" personId="{F0B599D4-F392-47B7-895C-9544E2B9B00E}" id="{A22BD38E-AA48-477B-A20A-F3E8CC2077BB}" parentId="{360E8115-7935-4C79-A18E-6876B0BABC8F}">
    <text xml:space="preserve">Posición de TLM usada temporalmente para SUP de MTTO FDP
</text>
  </threadedComment>
  <threadedComment ref="N274" dT="2026-01-27T17:16:09.66" personId="{F0B599D4-F392-47B7-895C-9544E2B9B00E}" id="{22A27C39-9EA4-4C34-9D2C-BA71CC2BEBA3}">
    <text>ROT SANDOVAL MATIAS</text>
  </threadedComment>
  <threadedComment ref="N276" dT="2026-01-06T16:58:30.22" personId="{F0B599D4-F392-47B7-895C-9544E2B9B00E}" id="{4562A081-74AB-4C6F-84A7-F590B249F303}">
    <text>rot de bohl a TECPE 1/1</text>
  </threadedComment>
  <threadedComment ref="N288" dT="2026-01-06T17:00:46.96" personId="{F0B599D4-F392-47B7-895C-9544E2B9B00E}" id="{AA3739F9-F8C6-4D2C-9DA9-B3D8EF34B48D}">
    <text xml:space="preserve">rot Zeni </text>
  </threadedComment>
  <threadedComment ref="N294" dT="2026-05-27T16:49:01.29" personId="{651D7CB5-6725-475C-8F2A-6DA9A60AAA64}" id="{80552974-71CF-4A00-ABEA-A7E9FB272FBC}">
    <text>Por rot de Konaschuk</text>
  </threadedComment>
  <threadedComment ref="N300" dT="2025-10-14T13:24:54.79" personId="{F0B599D4-F392-47B7-895C-9544E2B9B00E}" id="{3BA78346-0115-4CC0-B08C-30BC2AF1C235}">
    <text>reemplazo Diaz Mauricio</text>
  </threadedComment>
  <threadedComment ref="N310" dT="2025-12-10T19:31:24.30" personId="{F0B599D4-F392-47B7-895C-9544E2B9B00E}" id="{91BB8C92-5E59-43A1-ABAA-FC55DD23CB8B}">
    <text>ingreso 10/12</text>
  </threadedComment>
  <threadedComment ref="N340" dT="2026-06-03T11:11:19.06" personId="{F0B599D4-F392-47B7-895C-9544E2B9B00E}" id="{E117D6F8-1229-44B2-A138-055AB9EB1049}">
    <text>Salida Logarzo a TECPE 1/6</text>
  </threadedComment>
  <threadedComment ref="N342" dT="2026-01-06T13:07:24.47" personId="{F0B599D4-F392-47B7-895C-9544E2B9B00E}" id="{DF3CA491-15E5-4629-82FB-8ACD227E9C9E}">
    <text>renuncia Ramos Roberto</text>
  </threadedComment>
  <threadedComment ref="N347" dT="2026-06-01T14:14:45.34" personId="{F0B599D4-F392-47B7-895C-9544E2B9B00E}" id="{E6AE0C65-0657-4D68-8FAB-BCDC1608FBDB}">
    <text>VACANTE BAJA VAZQUEZ 1/6/26</text>
  </threadedComment>
  <threadedComment ref="N348" dT="2025-05-09T15:48:23.35" personId="{651D7CB5-6725-475C-8F2A-6DA9A60AAA64}" id="{1D8BF459-55CC-4161-85A8-76115124B549}">
    <text>Pos provisoria hasta que tenga un puesto de EA (solicitado en BDGT)</text>
  </threadedComment>
  <threadedComment ref="N354" dT="2025-11-14T13:20:17.64" personId="{F0B599D4-F392-47B7-895C-9544E2B9B00E}" id="{BC851157-207A-4E7A-90DE-7AD1868002DE}">
    <text xml:space="preserve">ingreso 17/11
</text>
  </threadedComment>
  <threadedComment ref="N369" dT="2026-05-07T19:10:43.61" personId="{651D7CB5-6725-475C-8F2A-6DA9A60AAA64}" id="{8A92DDD4-50C4-4CCF-915E-96B3BA52AF07}">
    <text>+1 por lic maternidad Pichel Danieal</text>
  </threadedComment>
  <threadedComment ref="N382" dT="2026-01-05T20:18:04.43" personId="{651D7CB5-6725-475C-8F2A-6DA9A60AAA64}" id="{7C4265E9-72C4-41C5-918F-E770768BF3E7}">
    <text>Ex -pecom</text>
  </threadedComment>
  <threadedComment ref="N383" dT="2026-01-06T17:12:43.48" personId="{F0B599D4-F392-47B7-895C-9544E2B9B00E}" id="{44C99A09-BE6B-4E78-804F-2ED4AD3308BE}">
    <text>vacante, espera cesión de Vetoño Oscar por LM</text>
  </threadedComment>
  <threadedComment ref="N383" dT="2026-02-18T13:24:33.70" personId="{F0B599D4-F392-47B7-895C-9544E2B9B00E}" id="{A2B95869-9B41-474D-A5A4-31131E8C62E1}" parentId="{44C99A09-BE6B-4E78-804F-2ED4AD3308BE}">
    <text xml:space="preserve">ingreso 18/Feb
</text>
  </threadedComment>
  <threadedComment ref="N405" dT="2026-01-06T11:28:21.41" personId="{F0B599D4-F392-47B7-895C-9544E2B9B00E}" id="{ECFA1734-D3F4-4AFB-B90A-4191000F667A}">
    <text>PASE PALOMO A TECPE</text>
  </threadedComment>
  <threadedComment ref="N405" dT="2026-01-27T14:30:47.61" personId="{F0B599D4-F392-47B7-895C-9544E2B9B00E}" id="{A4138805-13EE-4CE2-8352-79890B624954}" parentId="{ECFA1734-D3F4-4AFB-B90A-4191000F667A}">
    <text xml:space="preserve">Ingreso Ferrari 1/2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E9053-4A94-4AEA-A3AF-B616F509BF26}">
  <sheetPr codeName="Hoja1"/>
  <dimension ref="A1:AK443"/>
  <sheetViews>
    <sheetView showGridLines="0" tabSelected="1" zoomScale="130" zoomScaleNormal="130" workbookViewId="0">
      <selection activeCell="K22" sqref="K22"/>
    </sheetView>
  </sheetViews>
  <sheetFormatPr defaultColWidth="8.7109375" defaultRowHeight="11.25" customHeight="1"/>
  <cols>
    <col min="1" max="1" width="20.85546875" style="28" bestFit="1" customWidth="1"/>
    <col min="2" max="2" width="12.42578125" style="26" bestFit="1" customWidth="1"/>
    <col min="3" max="3" width="31.140625" style="28" customWidth="1"/>
    <col min="4" max="4" width="13.7109375" style="28" customWidth="1"/>
    <col min="5" max="5" width="22.5703125" style="28" bestFit="1" customWidth="1"/>
    <col min="6" max="6" width="9.85546875" style="28" hidden="1" customWidth="1"/>
    <col min="7" max="7" width="31.5703125" style="28" bestFit="1" customWidth="1"/>
    <col min="8" max="8" width="11.140625" style="53" bestFit="1" customWidth="1"/>
    <col min="9" max="9" width="20.140625" style="28" bestFit="1" customWidth="1"/>
    <col min="10" max="10" width="21.42578125" style="28" customWidth="1"/>
    <col min="11" max="11" width="21.5703125" style="28" bestFit="1" customWidth="1"/>
    <col min="12" max="12" width="24.5703125" style="28" customWidth="1"/>
    <col min="13" max="13" width="12.5703125" style="109" hidden="1" customWidth="1"/>
    <col min="14" max="14" width="31.5703125" style="91" bestFit="1" customWidth="1"/>
    <col min="15" max="15" width="27.28515625" style="28" bestFit="1" customWidth="1"/>
    <col min="16" max="16" width="27.5703125" style="28" bestFit="1" customWidth="1"/>
    <col min="17" max="17" width="38.7109375" style="28" bestFit="1" customWidth="1"/>
    <col min="18" max="18" width="17.140625" style="28" hidden="1" customWidth="1"/>
    <col min="19" max="19" width="22" style="28" hidden="1" customWidth="1"/>
    <col min="20" max="20" width="7.5703125" style="28" hidden="1" customWidth="1"/>
    <col min="21" max="21" width="25" style="28" bestFit="1" customWidth="1"/>
    <col min="22" max="22" width="10.85546875" style="28" bestFit="1" customWidth="1"/>
    <col min="23" max="23" width="9.42578125" style="28" hidden="1" customWidth="1"/>
    <col min="24" max="24" width="17" style="28" hidden="1" customWidth="1"/>
    <col min="25" max="25" width="9.5703125" style="28" hidden="1" customWidth="1"/>
    <col min="26" max="26" width="20.5703125" style="28" hidden="1" customWidth="1"/>
    <col min="27" max="27" width="21.42578125" style="28" hidden="1" customWidth="1"/>
    <col min="28" max="28" width="11.42578125" style="28" bestFit="1" customWidth="1"/>
    <col min="29" max="29" width="7.5703125" style="28" bestFit="1" customWidth="1"/>
    <col min="30" max="30" width="20.140625" style="28" bestFit="1" customWidth="1"/>
    <col min="31" max="31" width="11.5703125" style="28" bestFit="1" customWidth="1"/>
    <col min="32" max="32" width="13.85546875" style="28" bestFit="1" customWidth="1"/>
    <col min="33" max="33" width="12.42578125" style="28" bestFit="1" customWidth="1"/>
    <col min="34" max="34" width="10.5703125" style="28" bestFit="1" customWidth="1"/>
    <col min="35" max="36" width="7.42578125" style="28" bestFit="1" customWidth="1"/>
    <col min="37" max="37" width="25.42578125" style="28" bestFit="1" customWidth="1"/>
    <col min="38" max="16384" width="8.7109375" style="26"/>
  </cols>
  <sheetData>
    <row r="1" spans="1:37" s="25" customFormat="1" ht="10.5">
      <c r="A1" s="30" t="s">
        <v>0</v>
      </c>
      <c r="B1" s="56" t="s">
        <v>1</v>
      </c>
      <c r="C1" s="30" t="s">
        <v>2</v>
      </c>
      <c r="D1" s="30" t="s">
        <v>3</v>
      </c>
      <c r="E1" s="30" t="s">
        <v>4</v>
      </c>
      <c r="F1" s="31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102" t="s">
        <v>12</v>
      </c>
      <c r="N1" s="87" t="s">
        <v>13</v>
      </c>
      <c r="O1" s="30" t="s">
        <v>14</v>
      </c>
      <c r="P1" s="30" t="s">
        <v>15</v>
      </c>
      <c r="Q1" s="30" t="s">
        <v>16</v>
      </c>
      <c r="R1" s="31" t="s">
        <v>17</v>
      </c>
      <c r="S1" s="30" t="s">
        <v>18</v>
      </c>
      <c r="T1" s="30" t="s">
        <v>19</v>
      </c>
      <c r="U1" s="32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</row>
    <row r="2" spans="1:37" ht="9.9499999999999993">
      <c r="A2" s="29">
        <v>46266</v>
      </c>
      <c r="B2" s="22">
        <v>3360828</v>
      </c>
      <c r="C2" s="17" t="s">
        <v>37</v>
      </c>
      <c r="D2" s="17" t="s">
        <v>38</v>
      </c>
      <c r="E2" s="17" t="s">
        <v>38</v>
      </c>
      <c r="F2" s="17"/>
      <c r="G2" s="17" t="str">
        <f>Table1[[#This Row],[DESCRIPCION_POSICION]]</f>
        <v>O&amp;M Services Director</v>
      </c>
      <c r="H2" s="22" t="s">
        <v>39</v>
      </c>
      <c r="I2" s="17" t="s">
        <v>40</v>
      </c>
      <c r="J2" s="17" t="s">
        <v>41</v>
      </c>
      <c r="K2" s="17" t="s">
        <v>42</v>
      </c>
      <c r="L2" s="36" t="s">
        <v>43</v>
      </c>
      <c r="M2" s="103"/>
      <c r="N2" s="37" t="s">
        <v>44</v>
      </c>
      <c r="O2" s="36" t="str">
        <f>VLOOKUP(L2,CECOs!A:B,2,0)</f>
        <v>Sueldos TECPE</v>
      </c>
      <c r="P2" s="17" t="e">
        <f>VLOOKUP(B:B,CECOs!G:I,3,FALSE)</f>
        <v>#N/A</v>
      </c>
      <c r="Q2" s="17" t="str">
        <f>IF(_xlfn.XLOOKUP(L2,CECOs!A:A,CECOs!C:C,"")="",K2,_xlfn.XLOOKUP(L2,CECOs!A:A,CECOs!C:C,""))</f>
        <v>Mamani Carlos Walter</v>
      </c>
      <c r="R2" s="17" t="s">
        <v>38</v>
      </c>
      <c r="S2" s="17" t="s">
        <v>45</v>
      </c>
      <c r="T2" s="17" t="s">
        <v>46</v>
      </c>
      <c r="U2" s="17" t="s">
        <v>47</v>
      </c>
      <c r="V2" s="17" t="s">
        <v>48</v>
      </c>
      <c r="W2" s="17"/>
      <c r="X2" s="17"/>
      <c r="Y2" s="17"/>
      <c r="Z2" s="17"/>
      <c r="AA2" s="17"/>
      <c r="AB2" s="17" t="s">
        <v>49</v>
      </c>
      <c r="AC2" s="17"/>
      <c r="AD2" s="17" t="s">
        <v>50</v>
      </c>
      <c r="AE2" s="17"/>
      <c r="AF2" s="17"/>
      <c r="AG2" s="17"/>
      <c r="AH2" s="17"/>
      <c r="AI2" s="17"/>
      <c r="AJ2" s="17"/>
      <c r="AK2" s="29"/>
    </row>
    <row r="3" spans="1:37" ht="9.9499999999999993">
      <c r="A3" s="29">
        <v>46266</v>
      </c>
      <c r="B3" s="22">
        <v>3417016</v>
      </c>
      <c r="C3" s="17" t="s">
        <v>51</v>
      </c>
      <c r="D3" s="17" t="s">
        <v>38</v>
      </c>
      <c r="E3" s="17" t="s">
        <v>38</v>
      </c>
      <c r="F3" s="17"/>
      <c r="G3" s="17" t="str">
        <f>Table1[[#This Row],[DESCRIPCION_POSICION]]</f>
        <v>O&amp;M Services Sr. Manager</v>
      </c>
      <c r="H3" s="22" t="s">
        <v>52</v>
      </c>
      <c r="I3" s="17" t="s">
        <v>40</v>
      </c>
      <c r="J3" s="17" t="s">
        <v>41</v>
      </c>
      <c r="K3" s="17" t="s">
        <v>44</v>
      </c>
      <c r="L3" s="36" t="s">
        <v>43</v>
      </c>
      <c r="M3" s="103"/>
      <c r="N3" s="37" t="s">
        <v>53</v>
      </c>
      <c r="O3" s="36" t="str">
        <f>VLOOKUP(L3,CECOs!A:B,2,0)</f>
        <v>Sueldos TECPE</v>
      </c>
      <c r="P3" s="17" t="e">
        <f>VLOOKUP(B:B,CECOs!G:I,3,FALSE)</f>
        <v>#N/A</v>
      </c>
      <c r="Q3" s="17" t="str">
        <f>IF(_xlfn.XLOOKUP(L3,CECOs!A:A,CECOs!C:C,"")="",K3,_xlfn.XLOOKUP(L3,CECOs!A:A,CECOs!C:C,""))</f>
        <v>Lusso Mauricio Ricardo</v>
      </c>
      <c r="R3" s="17" t="s">
        <v>38</v>
      </c>
      <c r="S3" s="17" t="s">
        <v>45</v>
      </c>
      <c r="T3" s="17"/>
      <c r="U3" s="17" t="s">
        <v>47</v>
      </c>
      <c r="V3" s="17" t="s">
        <v>48</v>
      </c>
      <c r="W3" s="17"/>
      <c r="X3" s="17"/>
      <c r="Y3" s="17"/>
      <c r="Z3" s="17"/>
      <c r="AA3" s="17"/>
      <c r="AB3" s="17" t="s">
        <v>49</v>
      </c>
      <c r="AC3" s="17"/>
      <c r="AD3" s="17" t="s">
        <v>50</v>
      </c>
      <c r="AE3" s="17"/>
      <c r="AF3" s="17"/>
      <c r="AG3" s="17"/>
      <c r="AH3" s="17"/>
      <c r="AI3" s="17"/>
      <c r="AJ3" s="17"/>
      <c r="AK3" s="29"/>
    </row>
    <row r="4" spans="1:37" ht="9.9499999999999993">
      <c r="A4" s="29">
        <v>46266</v>
      </c>
      <c r="B4" s="22">
        <v>3197992</v>
      </c>
      <c r="C4" s="17" t="s">
        <v>54</v>
      </c>
      <c r="D4" s="17" t="s">
        <v>38</v>
      </c>
      <c r="E4" s="17" t="s">
        <v>38</v>
      </c>
      <c r="F4" s="17"/>
      <c r="G4" s="17" t="str">
        <f>Table1[[#This Row],[DESCRIPCION_POSICION]]</f>
        <v>Maintenance Services Manager</v>
      </c>
      <c r="H4" s="17" t="s">
        <v>55</v>
      </c>
      <c r="I4" s="17" t="s">
        <v>40</v>
      </c>
      <c r="J4" s="17" t="s">
        <v>41</v>
      </c>
      <c r="K4" s="36" t="s">
        <v>53</v>
      </c>
      <c r="L4" s="36" t="s">
        <v>43</v>
      </c>
      <c r="M4" s="103"/>
      <c r="N4" s="38" t="s">
        <v>56</v>
      </c>
      <c r="O4" s="36" t="str">
        <f>VLOOKUP(L4,CECOs!A:B,2,0)</f>
        <v>Sueldos TECPE</v>
      </c>
      <c r="P4" s="17" t="e">
        <f>VLOOKUP(B:B,CECOs!G:I,3,FALSE)</f>
        <v>#N/A</v>
      </c>
      <c r="Q4" s="17" t="str">
        <f>IF(_xlfn.XLOOKUP(L4,CECOs!A:A,CECOs!C:C,"")="",K4,_xlfn.XLOOKUP(L4,CECOs!A:A,CECOs!C:C,""))</f>
        <v>Fabro Facundo</v>
      </c>
      <c r="R4" s="17" t="s">
        <v>38</v>
      </c>
      <c r="S4" s="17" t="s">
        <v>45</v>
      </c>
      <c r="T4" s="17" t="s">
        <v>57</v>
      </c>
      <c r="U4" s="17" t="s">
        <v>47</v>
      </c>
      <c r="V4" s="17" t="s">
        <v>48</v>
      </c>
      <c r="W4" s="17"/>
      <c r="X4" s="17"/>
      <c r="Y4" s="17"/>
      <c r="Z4" s="17"/>
      <c r="AA4" s="17"/>
      <c r="AB4" s="17" t="s">
        <v>49</v>
      </c>
      <c r="AC4" s="17"/>
      <c r="AD4" s="17" t="s">
        <v>50</v>
      </c>
      <c r="AE4" s="17"/>
      <c r="AF4" s="17"/>
      <c r="AG4" s="17"/>
      <c r="AH4" s="17"/>
      <c r="AI4" s="17"/>
      <c r="AJ4" s="17"/>
      <c r="AK4" s="29"/>
    </row>
    <row r="5" spans="1:37" ht="9.9499999999999993">
      <c r="A5" s="29">
        <v>46266</v>
      </c>
      <c r="B5" s="22">
        <v>3294913</v>
      </c>
      <c r="C5" s="17" t="s">
        <v>58</v>
      </c>
      <c r="D5" s="17" t="s">
        <v>38</v>
      </c>
      <c r="E5" s="17" t="s">
        <v>38</v>
      </c>
      <c r="F5" s="17"/>
      <c r="G5" s="17" t="str">
        <f>Table1[[#This Row],[DESCRIPCION_POSICION]]</f>
        <v>Operations Services Manager</v>
      </c>
      <c r="H5" s="22" t="s">
        <v>59</v>
      </c>
      <c r="I5" s="17" t="s">
        <v>40</v>
      </c>
      <c r="J5" s="17" t="s">
        <v>41</v>
      </c>
      <c r="K5" s="36" t="s">
        <v>53</v>
      </c>
      <c r="L5" s="36" t="s">
        <v>43</v>
      </c>
      <c r="M5" s="103"/>
      <c r="N5" s="37" t="s">
        <v>60</v>
      </c>
      <c r="O5" s="36" t="str">
        <f>VLOOKUP(L5,CECOs!A:B,2,0)</f>
        <v>Sueldos TECPE</v>
      </c>
      <c r="P5" s="17" t="e">
        <f>VLOOKUP(B:B,CECOs!G:I,3,FALSE)</f>
        <v>#N/A</v>
      </c>
      <c r="Q5" s="17" t="str">
        <f>IF(_xlfn.XLOOKUP(L5,CECOs!A:A,CECOs!C:C,"")="",K5,_xlfn.XLOOKUP(L5,CECOs!A:A,CECOs!C:C,""))</f>
        <v>Fabro Facundo</v>
      </c>
      <c r="R5" s="17" t="s">
        <v>38</v>
      </c>
      <c r="S5" s="17" t="s">
        <v>45</v>
      </c>
      <c r="T5" s="17" t="s">
        <v>61</v>
      </c>
      <c r="U5" s="17" t="s">
        <v>47</v>
      </c>
      <c r="V5" s="17" t="s">
        <v>48</v>
      </c>
      <c r="W5" s="17"/>
      <c r="X5" s="17"/>
      <c r="Y5" s="17"/>
      <c r="Z5" s="17"/>
      <c r="AA5" s="17"/>
      <c r="AB5" s="17" t="s">
        <v>49</v>
      </c>
      <c r="AC5" s="17"/>
      <c r="AD5" s="17" t="s">
        <v>50</v>
      </c>
      <c r="AE5" s="17"/>
      <c r="AF5" s="17"/>
      <c r="AG5" s="17"/>
      <c r="AH5" s="17"/>
      <c r="AI5" s="17"/>
      <c r="AJ5" s="17"/>
      <c r="AK5" s="29"/>
    </row>
    <row r="6" spans="1:37" ht="9.9499999999999993">
      <c r="A6" s="29">
        <v>46266</v>
      </c>
      <c r="B6" s="22">
        <v>3364085</v>
      </c>
      <c r="C6" s="17" t="s">
        <v>62</v>
      </c>
      <c r="D6" s="17" t="s">
        <v>38</v>
      </c>
      <c r="E6" s="17" t="s">
        <v>38</v>
      </c>
      <c r="F6" s="17"/>
      <c r="G6" s="17" t="str">
        <f>Table1[[#This Row],[DESCRIPCION_POSICION]]</f>
        <v>O&amp;M Optimization Process Analyst</v>
      </c>
      <c r="H6" s="17" t="s">
        <v>63</v>
      </c>
      <c r="I6" s="17" t="s">
        <v>40</v>
      </c>
      <c r="J6" s="17" t="s">
        <v>41</v>
      </c>
      <c r="K6" s="17" t="s">
        <v>44</v>
      </c>
      <c r="L6" s="36" t="s">
        <v>43</v>
      </c>
      <c r="M6" s="103"/>
      <c r="N6" s="38" t="s">
        <v>64</v>
      </c>
      <c r="O6" s="36" t="str">
        <f>VLOOKUP(L6,CECOs!A:B,2,0)</f>
        <v>Sueldos TECPE</v>
      </c>
      <c r="P6" s="17" t="e">
        <f>VLOOKUP(B:B,CECOs!G:I,3,FALSE)</f>
        <v>#N/A</v>
      </c>
      <c r="Q6" s="17" t="str">
        <f>IF(_xlfn.XLOOKUP(L6,CECOs!A:A,CECOs!C:C,"")="",K6,_xlfn.XLOOKUP(L6,CECOs!A:A,CECOs!C:C,""))</f>
        <v>Lusso Mauricio Ricardo</v>
      </c>
      <c r="R6" s="17" t="s">
        <v>38</v>
      </c>
      <c r="S6" s="17" t="s">
        <v>45</v>
      </c>
      <c r="T6" s="17" t="s">
        <v>65</v>
      </c>
      <c r="U6" s="17" t="s">
        <v>47</v>
      </c>
      <c r="V6" s="17" t="s">
        <v>48</v>
      </c>
      <c r="W6" s="17"/>
      <c r="X6" s="17"/>
      <c r="Y6" s="17"/>
      <c r="Z6" s="17"/>
      <c r="AA6" s="17"/>
      <c r="AB6" s="17" t="s">
        <v>49</v>
      </c>
      <c r="AC6" s="17"/>
      <c r="AD6" s="17" t="s">
        <v>50</v>
      </c>
      <c r="AE6" s="17"/>
      <c r="AF6" s="17"/>
      <c r="AG6" s="17"/>
      <c r="AH6" s="17"/>
      <c r="AI6" s="17"/>
      <c r="AJ6" s="17"/>
      <c r="AK6" s="29"/>
    </row>
    <row r="7" spans="1:37" ht="9.9499999999999993">
      <c r="A7" s="29">
        <v>46266</v>
      </c>
      <c r="B7" s="22">
        <v>3392801</v>
      </c>
      <c r="C7" s="17" t="s">
        <v>66</v>
      </c>
      <c r="D7" s="17" t="s">
        <v>38</v>
      </c>
      <c r="E7" s="17" t="s">
        <v>38</v>
      </c>
      <c r="F7" s="17"/>
      <c r="G7" s="17" t="str">
        <f>Table1[[#This Row],[DESCRIPCION_POSICION]]</f>
        <v>Maintenance Services Coordinator</v>
      </c>
      <c r="H7" s="17" t="s">
        <v>67</v>
      </c>
      <c r="I7" s="17" t="s">
        <v>40</v>
      </c>
      <c r="J7" s="17" t="s">
        <v>68</v>
      </c>
      <c r="K7" s="17" t="s">
        <v>56</v>
      </c>
      <c r="L7" s="36" t="s">
        <v>69</v>
      </c>
      <c r="M7" s="103"/>
      <c r="N7" s="38" t="s">
        <v>70</v>
      </c>
      <c r="O7" s="36" t="str">
        <f>VLOOKUP(L7,CECOs!A:B,2,0)</f>
        <v>Facilitadores FP</v>
      </c>
      <c r="P7" s="17" t="str">
        <f>VLOOKUP(B:B,CECOs!G:I,3,FALSE)</f>
        <v>FacilitadordeServicios</v>
      </c>
      <c r="Q7" s="17" t="str">
        <f>IF(_xlfn.XLOOKUP(L7,CECOs!A:A,CECOs!C:C,"")="",K7,_xlfn.XLOOKUP(L7,CECOs!A:A,CECOs!C:C,""))</f>
        <v>Batallan Pablo Alejandro</v>
      </c>
      <c r="R7" s="17" t="s">
        <v>38</v>
      </c>
      <c r="S7" s="17" t="s">
        <v>45</v>
      </c>
      <c r="T7" s="17" t="s">
        <v>57</v>
      </c>
      <c r="U7" s="17" t="s">
        <v>47</v>
      </c>
      <c r="V7" s="17" t="s">
        <v>48</v>
      </c>
      <c r="W7" s="17"/>
      <c r="X7" s="17"/>
      <c r="Y7" s="17"/>
      <c r="Z7" s="17"/>
      <c r="AA7" s="17"/>
      <c r="AB7" s="17" t="s">
        <v>49</v>
      </c>
      <c r="AC7" s="17"/>
      <c r="AD7" s="17" t="s">
        <v>50</v>
      </c>
      <c r="AE7" s="17"/>
      <c r="AF7" s="17"/>
      <c r="AG7" s="17"/>
      <c r="AH7" s="17"/>
      <c r="AI7" s="17"/>
      <c r="AJ7" s="17"/>
      <c r="AK7" s="29"/>
    </row>
    <row r="8" spans="1:37" ht="9.9499999999999993">
      <c r="A8" s="29">
        <v>46266</v>
      </c>
      <c r="B8" s="22">
        <v>3392802</v>
      </c>
      <c r="C8" s="17" t="s">
        <v>71</v>
      </c>
      <c r="D8" s="17" t="s">
        <v>38</v>
      </c>
      <c r="E8" s="17" t="s">
        <v>38</v>
      </c>
      <c r="F8" s="17"/>
      <c r="G8" s="17" t="str">
        <f>Table1[[#This Row],[DESCRIPCION_POSICION]]</f>
        <v>Operations Services Coordinator</v>
      </c>
      <c r="H8" s="17" t="s">
        <v>72</v>
      </c>
      <c r="I8" s="17" t="s">
        <v>40</v>
      </c>
      <c r="J8" s="17" t="s">
        <v>68</v>
      </c>
      <c r="K8" s="17" t="s">
        <v>56</v>
      </c>
      <c r="L8" s="36" t="s">
        <v>69</v>
      </c>
      <c r="M8" s="103"/>
      <c r="N8" s="38" t="s">
        <v>73</v>
      </c>
      <c r="O8" s="36" t="str">
        <f>VLOOKUP(L8,CECOs!A:B,2,0)</f>
        <v>Facilitadores FP</v>
      </c>
      <c r="P8" s="17" t="str">
        <f>VLOOKUP(B:B,CECOs!G:I,3,FALSE)</f>
        <v>FacilitadordeServicios</v>
      </c>
      <c r="Q8" s="17" t="str">
        <f>IF(_xlfn.XLOOKUP(L8,CECOs!A:A,CECOs!C:C,"")="",K8,_xlfn.XLOOKUP(L8,CECOs!A:A,CECOs!C:C,""))</f>
        <v>Batallan Pablo Alejandro</v>
      </c>
      <c r="R8" s="17" t="s">
        <v>38</v>
      </c>
      <c r="S8" s="17" t="s">
        <v>45</v>
      </c>
      <c r="T8" s="17" t="s">
        <v>57</v>
      </c>
      <c r="U8" s="17" t="s">
        <v>47</v>
      </c>
      <c r="V8" s="17" t="s">
        <v>48</v>
      </c>
      <c r="W8" s="17"/>
      <c r="X8" s="17"/>
      <c r="Y8" s="17"/>
      <c r="Z8" s="17"/>
      <c r="AA8" s="17"/>
      <c r="AB8" s="17" t="s">
        <v>49</v>
      </c>
      <c r="AC8" s="17"/>
      <c r="AD8" s="17" t="s">
        <v>50</v>
      </c>
      <c r="AE8" s="17"/>
      <c r="AF8" s="17"/>
      <c r="AG8" s="17"/>
      <c r="AH8" s="17"/>
      <c r="AI8" s="17"/>
      <c r="AJ8" s="17"/>
      <c r="AK8" s="29"/>
    </row>
    <row r="9" spans="1:37" ht="9.9499999999999993">
      <c r="A9" s="29">
        <v>46266</v>
      </c>
      <c r="B9" s="22">
        <v>3392803</v>
      </c>
      <c r="C9" s="17" t="s">
        <v>66</v>
      </c>
      <c r="D9" s="17" t="s">
        <v>38</v>
      </c>
      <c r="E9" s="17" t="s">
        <v>38</v>
      </c>
      <c r="F9" s="17"/>
      <c r="G9" s="17" t="str">
        <f>Table1[[#This Row],[DESCRIPCION_POSICION]]</f>
        <v>Maintenance Services Coordinator</v>
      </c>
      <c r="H9" s="22" t="s">
        <v>74</v>
      </c>
      <c r="I9" s="17" t="s">
        <v>40</v>
      </c>
      <c r="J9" s="17" t="s">
        <v>68</v>
      </c>
      <c r="K9" s="17" t="s">
        <v>56</v>
      </c>
      <c r="L9" s="36" t="s">
        <v>69</v>
      </c>
      <c r="M9" s="103"/>
      <c r="N9" s="37" t="s">
        <v>75</v>
      </c>
      <c r="O9" s="36" t="str">
        <f>VLOOKUP(L9,CECOs!A:B,2,0)</f>
        <v>Facilitadores FP</v>
      </c>
      <c r="P9" s="17" t="str">
        <f>VLOOKUP(B:B,CECOs!G:I,3,FALSE)</f>
        <v>FacilitadordeServicios</v>
      </c>
      <c r="Q9" s="17" t="str">
        <f>IF(_xlfn.XLOOKUP(L9,CECOs!A:A,CECOs!C:C,"")="",K9,_xlfn.XLOOKUP(L9,CECOs!A:A,CECOs!C:C,""))</f>
        <v>Batallan Pablo Alejandro</v>
      </c>
      <c r="R9" s="17" t="s">
        <v>38</v>
      </c>
      <c r="S9" s="17" t="s">
        <v>45</v>
      </c>
      <c r="T9" s="17" t="s">
        <v>57</v>
      </c>
      <c r="U9" s="17" t="s">
        <v>47</v>
      </c>
      <c r="V9" s="17" t="s">
        <v>48</v>
      </c>
      <c r="W9" s="17"/>
      <c r="X9" s="17"/>
      <c r="Y9" s="17"/>
      <c r="Z9" s="17"/>
      <c r="AA9" s="17"/>
      <c r="AB9" s="17" t="s">
        <v>49</v>
      </c>
      <c r="AC9" s="17"/>
      <c r="AD9" s="17" t="s">
        <v>50</v>
      </c>
      <c r="AE9" s="17"/>
      <c r="AF9" s="17"/>
      <c r="AG9" s="17"/>
      <c r="AH9" s="17"/>
      <c r="AI9" s="17"/>
      <c r="AJ9" s="17"/>
      <c r="AK9" s="29"/>
    </row>
    <row r="10" spans="1:37" ht="9.9499999999999993">
      <c r="A10" s="29">
        <v>46266</v>
      </c>
      <c r="B10" s="22">
        <v>3392804</v>
      </c>
      <c r="C10" s="17" t="s">
        <v>76</v>
      </c>
      <c r="D10" s="17" t="s">
        <v>38</v>
      </c>
      <c r="E10" s="17" t="s">
        <v>38</v>
      </c>
      <c r="F10" s="17"/>
      <c r="G10" s="17" t="str">
        <f>Table1[[#This Row],[DESCRIPCION_POSICION]]</f>
        <v>Production Services Coordinator</v>
      </c>
      <c r="H10" s="17" t="s">
        <v>77</v>
      </c>
      <c r="I10" s="17" t="s">
        <v>40</v>
      </c>
      <c r="J10" s="17" t="s">
        <v>68</v>
      </c>
      <c r="K10" s="17" t="s">
        <v>78</v>
      </c>
      <c r="L10" s="54" t="s">
        <v>79</v>
      </c>
      <c r="M10" s="103"/>
      <c r="N10" s="38" t="s">
        <v>80</v>
      </c>
      <c r="O10" s="36" t="str">
        <f>VLOOKUP(L10,CECOs!A:B,2,0)</f>
        <v>Supervisores Well Services</v>
      </c>
      <c r="P10" s="17" t="str">
        <f>VLOOKUP(B:B,CECOs!G:I,3,FALSE)</f>
        <v>FacilitadordeServicios</v>
      </c>
      <c r="Q10" s="17" t="str">
        <f>IF(_xlfn.XLOOKUP(L10,CECOs!A:A,CECOs!C:C,"")="",K10,_xlfn.XLOOKUP(L10,CECOs!A:A,CECOs!C:C,""))</f>
        <v>Lopez Rodrigo Gaston</v>
      </c>
      <c r="R10" s="17" t="s">
        <v>38</v>
      </c>
      <c r="S10" s="17" t="s">
        <v>45</v>
      </c>
      <c r="T10" s="17" t="s">
        <v>61</v>
      </c>
      <c r="U10" s="17" t="s">
        <v>47</v>
      </c>
      <c r="V10" s="17" t="s">
        <v>48</v>
      </c>
      <c r="W10" s="17"/>
      <c r="X10" s="17"/>
      <c r="Y10" s="17"/>
      <c r="Z10" s="17"/>
      <c r="AA10" s="17"/>
      <c r="AB10" s="17" t="s">
        <v>49</v>
      </c>
      <c r="AC10" s="17"/>
      <c r="AD10" s="17" t="s">
        <v>50</v>
      </c>
      <c r="AE10" s="17"/>
      <c r="AF10" s="17"/>
      <c r="AG10" s="17"/>
      <c r="AH10" s="17"/>
      <c r="AI10" s="17"/>
      <c r="AJ10" s="17"/>
      <c r="AK10" s="29"/>
    </row>
    <row r="11" spans="1:37" ht="9.9499999999999993">
      <c r="A11" s="29">
        <v>46266</v>
      </c>
      <c r="B11" s="22">
        <v>3392805</v>
      </c>
      <c r="C11" s="17" t="s">
        <v>81</v>
      </c>
      <c r="D11" s="17" t="s">
        <v>38</v>
      </c>
      <c r="E11" s="17" t="s">
        <v>38</v>
      </c>
      <c r="F11" s="17"/>
      <c r="G11" s="17" t="str">
        <f>Table1[[#This Row],[DESCRIPCION_POSICION]]</f>
        <v>Plants Services Coordinator</v>
      </c>
      <c r="H11" s="22" t="s">
        <v>82</v>
      </c>
      <c r="I11" s="17" t="s">
        <v>40</v>
      </c>
      <c r="J11" s="17" t="s">
        <v>68</v>
      </c>
      <c r="K11" s="17" t="s">
        <v>78</v>
      </c>
      <c r="L11" s="36" t="s">
        <v>83</v>
      </c>
      <c r="M11" s="103"/>
      <c r="N11" s="37" t="s">
        <v>84</v>
      </c>
      <c r="O11" s="36" t="str">
        <f>VLOOKUP(L11,CECOs!A:B,2,0)</f>
        <v>Facilitadores CONV</v>
      </c>
      <c r="P11" s="17" t="str">
        <f>VLOOKUP(B:B,CECOs!G:I,3,FALSE)</f>
        <v>FacilitadordeServicios</v>
      </c>
      <c r="Q11" s="17" t="str">
        <f>IF(_xlfn.XLOOKUP(L11,CECOs!A:A,CECOs!C:C,"")="",K11,_xlfn.XLOOKUP(L11,CECOs!A:A,CECOs!C:C,""))</f>
        <v>Lopez Rodrigo Gaston</v>
      </c>
      <c r="R11" s="17" t="s">
        <v>38</v>
      </c>
      <c r="S11" s="17" t="s">
        <v>45</v>
      </c>
      <c r="T11" s="17" t="s">
        <v>61</v>
      </c>
      <c r="U11" s="17" t="s">
        <v>47</v>
      </c>
      <c r="V11" s="17" t="s">
        <v>48</v>
      </c>
      <c r="W11" s="17"/>
      <c r="X11" s="17"/>
      <c r="Y11" s="17"/>
      <c r="Z11" s="17"/>
      <c r="AA11" s="17"/>
      <c r="AB11" s="17" t="s">
        <v>49</v>
      </c>
      <c r="AC11" s="17"/>
      <c r="AD11" s="17" t="s">
        <v>50</v>
      </c>
      <c r="AE11" s="17"/>
      <c r="AF11" s="17"/>
      <c r="AG11" s="17"/>
      <c r="AH11" s="17"/>
      <c r="AI11" s="17"/>
      <c r="AJ11" s="17"/>
      <c r="AK11" s="29"/>
    </row>
    <row r="12" spans="1:37" ht="9.9499999999999993">
      <c r="A12" s="29">
        <v>46266</v>
      </c>
      <c r="B12" s="22">
        <v>3392806</v>
      </c>
      <c r="C12" s="17" t="s">
        <v>71</v>
      </c>
      <c r="D12" s="17" t="s">
        <v>38</v>
      </c>
      <c r="E12" s="17" t="s">
        <v>38</v>
      </c>
      <c r="F12" s="17"/>
      <c r="G12" s="17" t="str">
        <f>Table1[[#This Row],[DESCRIPCION_POSICION]]</f>
        <v>Operations Services Coordinator</v>
      </c>
      <c r="H12" s="17" t="s">
        <v>85</v>
      </c>
      <c r="I12" s="17" t="s">
        <v>40</v>
      </c>
      <c r="J12" s="17" t="s">
        <v>68</v>
      </c>
      <c r="K12" s="17" t="s">
        <v>78</v>
      </c>
      <c r="L12" s="36" t="s">
        <v>69</v>
      </c>
      <c r="M12" s="103"/>
      <c r="N12" s="38" t="s">
        <v>86</v>
      </c>
      <c r="O12" s="36" t="str">
        <f>VLOOKUP(L12,CECOs!A:B,2,0)</f>
        <v>Facilitadores FP</v>
      </c>
      <c r="P12" s="17" t="str">
        <f>VLOOKUP(B:B,CECOs!G:I,3,FALSE)</f>
        <v>FacilitadordeServicios</v>
      </c>
      <c r="Q12" s="17" t="str">
        <f>IF(_xlfn.XLOOKUP(L12,CECOs!A:A,CECOs!C:C,"")="",K12,_xlfn.XLOOKUP(L12,CECOs!A:A,CECOs!C:C,""))</f>
        <v>Lopez Rodrigo Gaston</v>
      </c>
      <c r="R12" s="17" t="s">
        <v>38</v>
      </c>
      <c r="S12" s="17" t="s">
        <v>45</v>
      </c>
      <c r="T12" s="17" t="s">
        <v>61</v>
      </c>
      <c r="U12" s="17" t="s">
        <v>47</v>
      </c>
      <c r="V12" s="17" t="s">
        <v>48</v>
      </c>
      <c r="W12" s="17"/>
      <c r="X12" s="17"/>
      <c r="Y12" s="17"/>
      <c r="Z12" s="17"/>
      <c r="AA12" s="17"/>
      <c r="AB12" s="17" t="s">
        <v>49</v>
      </c>
      <c r="AC12" s="17"/>
      <c r="AD12" s="17" t="s">
        <v>50</v>
      </c>
      <c r="AE12" s="17"/>
      <c r="AF12" s="17"/>
      <c r="AG12" s="17"/>
      <c r="AH12" s="17"/>
      <c r="AI12" s="17"/>
      <c r="AJ12" s="17"/>
      <c r="AK12" s="29"/>
    </row>
    <row r="13" spans="1:37" ht="9.9499999999999993">
      <c r="A13" s="29">
        <v>46266</v>
      </c>
      <c r="B13" s="22">
        <v>3392808</v>
      </c>
      <c r="C13" s="17" t="s">
        <v>87</v>
      </c>
      <c r="D13" s="17" t="s">
        <v>38</v>
      </c>
      <c r="E13" s="17" t="s">
        <v>38</v>
      </c>
      <c r="F13" s="17"/>
      <c r="G13" s="17" t="str">
        <f>Table1[[#This Row],[DESCRIPCION_POSICION]]</f>
        <v>Technical Training Specialist</v>
      </c>
      <c r="H13" s="17" t="s">
        <v>88</v>
      </c>
      <c r="I13" s="17" t="s">
        <v>40</v>
      </c>
      <c r="J13" s="17" t="s">
        <v>68</v>
      </c>
      <c r="K13" s="17" t="s">
        <v>78</v>
      </c>
      <c r="L13" s="36" t="s">
        <v>69</v>
      </c>
      <c r="M13" s="103"/>
      <c r="N13" s="38" t="s">
        <v>89</v>
      </c>
      <c r="O13" s="36" t="str">
        <f>VLOOKUP(L13,CECOs!A:B,2,0)</f>
        <v>Facilitadores FP</v>
      </c>
      <c r="P13" s="17" t="str">
        <f>VLOOKUP(B:B,CECOs!G:I,3,FALSE)</f>
        <v>FacilitadordeServicios</v>
      </c>
      <c r="Q13" s="17" t="str">
        <f>IF(_xlfn.XLOOKUP(L13,CECOs!A:A,CECOs!C:C,"")="",K13,_xlfn.XLOOKUP(L13,CECOs!A:A,CECOs!C:C,""))</f>
        <v>Lopez Rodrigo Gaston</v>
      </c>
      <c r="R13" s="17" t="s">
        <v>38</v>
      </c>
      <c r="S13" s="17" t="s">
        <v>45</v>
      </c>
      <c r="T13" s="17" t="s">
        <v>61</v>
      </c>
      <c r="U13" s="17" t="s">
        <v>47</v>
      </c>
      <c r="V13" s="17" t="s">
        <v>48</v>
      </c>
      <c r="W13" s="17"/>
      <c r="X13" s="17"/>
      <c r="Y13" s="17"/>
      <c r="Z13" s="17"/>
      <c r="AA13" s="17"/>
      <c r="AB13" s="17" t="s">
        <v>49</v>
      </c>
      <c r="AC13" s="17"/>
      <c r="AD13" s="17" t="s">
        <v>50</v>
      </c>
      <c r="AE13" s="17"/>
      <c r="AF13" s="17"/>
      <c r="AG13" s="17"/>
      <c r="AH13" s="17"/>
      <c r="AI13" s="17"/>
      <c r="AJ13" s="17"/>
      <c r="AK13" s="29"/>
    </row>
    <row r="14" spans="1:37">
      <c r="A14" s="29">
        <v>46266</v>
      </c>
      <c r="B14" s="22">
        <v>3406970</v>
      </c>
      <c r="C14" s="17" t="s">
        <v>90</v>
      </c>
      <c r="D14" s="17" t="s">
        <v>38</v>
      </c>
      <c r="E14" s="17" t="s">
        <v>38</v>
      </c>
      <c r="F14" s="24"/>
      <c r="G14" s="17" t="str">
        <f>Table1[[#This Row],[DESCRIPCION_POSICION]]</f>
        <v>Oficial Especializado de Oficios</v>
      </c>
      <c r="H14" s="17" t="s">
        <v>91</v>
      </c>
      <c r="I14" s="17" t="s">
        <v>40</v>
      </c>
      <c r="J14" s="17" t="s">
        <v>68</v>
      </c>
      <c r="K14" s="17" t="s">
        <v>73</v>
      </c>
      <c r="L14" s="17" t="s">
        <v>92</v>
      </c>
      <c r="M14" s="104"/>
      <c r="N14" s="42" t="s">
        <v>93</v>
      </c>
      <c r="O14" s="17" t="str">
        <f>VLOOKUP(L14,CECOs!A:B,2,0)</f>
        <v>Mtto Mecánico FP</v>
      </c>
      <c r="P14" s="17" t="str">
        <f>VLOOKUP(B:B,CECOs!G:I,3,FALSE)</f>
        <v>Relevomantenimiento</v>
      </c>
      <c r="Q14" s="17" t="str">
        <f>IF(_xlfn.XLOOKUP(L14,CECOs!A:A,CECOs!C:C,"")="",K14,_xlfn.XLOOKUP(L14,CECOs!A:A,CECOs!C:C,""))</f>
        <v>CORDOVA, DANIELA / ALTAMIRANDA, LEANDRO</v>
      </c>
      <c r="R14" s="17" t="s">
        <v>38</v>
      </c>
      <c r="S14" s="17" t="s">
        <v>45</v>
      </c>
      <c r="T14" s="17"/>
      <c r="U14" s="17" t="s">
        <v>94</v>
      </c>
      <c r="V14" s="17" t="s">
        <v>95</v>
      </c>
      <c r="W14" s="17"/>
      <c r="X14" s="17"/>
      <c r="Y14" s="17"/>
      <c r="Z14" s="17"/>
      <c r="AA14" s="17"/>
      <c r="AB14" s="17" t="s">
        <v>49</v>
      </c>
      <c r="AC14" s="17"/>
      <c r="AD14" s="17" t="s">
        <v>50</v>
      </c>
      <c r="AE14" s="17"/>
      <c r="AF14" s="17"/>
      <c r="AG14" s="17"/>
      <c r="AH14" s="17"/>
      <c r="AI14" s="17"/>
      <c r="AJ14" s="17"/>
      <c r="AK14" s="29"/>
    </row>
    <row r="15" spans="1:37" ht="9.9499999999999993">
      <c r="A15" s="29">
        <v>46266</v>
      </c>
      <c r="B15" s="22">
        <v>3414076</v>
      </c>
      <c r="C15" s="17" t="s">
        <v>96</v>
      </c>
      <c r="D15" s="17" t="s">
        <v>38</v>
      </c>
      <c r="E15" s="17" t="s">
        <v>38</v>
      </c>
      <c r="F15" s="17"/>
      <c r="G15" s="17" t="str">
        <f>Table1[[#This Row],[DESCRIPCION_POSICION]]</f>
        <v>Maintenance Supervisor</v>
      </c>
      <c r="H15" s="53" t="s">
        <v>97</v>
      </c>
      <c r="I15" s="17" t="s">
        <v>40</v>
      </c>
      <c r="J15" s="17" t="s">
        <v>68</v>
      </c>
      <c r="K15" s="17" t="s">
        <v>98</v>
      </c>
      <c r="L15" s="36" t="s">
        <v>99</v>
      </c>
      <c r="M15" s="104"/>
      <c r="N15" s="26" t="s">
        <v>100</v>
      </c>
      <c r="O15" s="36" t="str">
        <f>VLOOKUP(L15,CECOs!A:B,2,0)</f>
        <v>PJ TLM</v>
      </c>
      <c r="P15" s="17" t="str">
        <f>VLOOKUP(B:B,CECOs!G:I,3,FALSE)</f>
        <v>Supervisoroperativo/Producción</v>
      </c>
      <c r="Q15" s="17" t="str">
        <f>IF(_xlfn.XLOOKUP(L15,CECOs!A:A,CECOs!C:C,"")="",K15,_xlfn.XLOOKUP(L15,CECOs!A:A,CECOs!C:C,""))</f>
        <v>Segura Alejandro</v>
      </c>
      <c r="R15" s="17" t="s">
        <v>38</v>
      </c>
      <c r="S15" s="17" t="s">
        <v>45</v>
      </c>
      <c r="T15" s="17"/>
      <c r="U15" s="17" t="s">
        <v>94</v>
      </c>
      <c r="V15" s="17" t="s">
        <v>48</v>
      </c>
      <c r="W15" s="17"/>
      <c r="X15" s="17"/>
      <c r="Y15" s="17"/>
      <c r="Z15" s="17"/>
      <c r="AA15" s="17"/>
      <c r="AB15" s="17" t="s">
        <v>49</v>
      </c>
      <c r="AC15" s="17"/>
      <c r="AD15" s="17" t="s">
        <v>50</v>
      </c>
      <c r="AE15" s="17"/>
      <c r="AF15" s="17"/>
      <c r="AG15" s="17"/>
      <c r="AH15" s="17"/>
      <c r="AI15" s="17"/>
      <c r="AJ15" s="17"/>
      <c r="AK15" s="29"/>
    </row>
    <row r="16" spans="1:37" ht="9.9499999999999993">
      <c r="A16" s="29">
        <v>46266</v>
      </c>
      <c r="B16" s="22">
        <v>3392809</v>
      </c>
      <c r="C16" s="17" t="s">
        <v>101</v>
      </c>
      <c r="D16" s="17" t="s">
        <v>38</v>
      </c>
      <c r="E16" s="17" t="s">
        <v>38</v>
      </c>
      <c r="F16" s="17"/>
      <c r="G16" s="17" t="str">
        <f>Table1[[#This Row],[DESCRIPCION_POSICION]]</f>
        <v>O&amp;M Planning Analyst</v>
      </c>
      <c r="H16" s="17" t="s">
        <v>102</v>
      </c>
      <c r="I16" s="17" t="s">
        <v>40</v>
      </c>
      <c r="J16" s="17" t="s">
        <v>41</v>
      </c>
      <c r="K16" s="17" t="s">
        <v>64</v>
      </c>
      <c r="L16" s="36" t="s">
        <v>43</v>
      </c>
      <c r="M16" s="103"/>
      <c r="N16" s="38" t="s">
        <v>103</v>
      </c>
      <c r="O16" s="36" t="str">
        <f>VLOOKUP(L16,CECOs!A:B,2,0)</f>
        <v>Sueldos TECPE</v>
      </c>
      <c r="P16" s="17" t="e">
        <f>VLOOKUP(B:B,CECOs!G:I,3,FALSE)</f>
        <v>#N/A</v>
      </c>
      <c r="Q16" s="17" t="str">
        <f>IF(_xlfn.XLOOKUP(L16,CECOs!A:A,CECOs!C:C,"")="",K16,_xlfn.XLOOKUP(L16,CECOs!A:A,CECOs!C:C,""))</f>
        <v>Gili Arianna</v>
      </c>
      <c r="R16" s="17" t="s">
        <v>38</v>
      </c>
      <c r="S16" s="17" t="s">
        <v>45</v>
      </c>
      <c r="T16" s="17" t="s">
        <v>65</v>
      </c>
      <c r="U16" s="17" t="s">
        <v>47</v>
      </c>
      <c r="V16" s="17" t="s">
        <v>48</v>
      </c>
      <c r="W16" s="17"/>
      <c r="X16" s="17"/>
      <c r="Y16" s="17"/>
      <c r="Z16" s="17"/>
      <c r="AA16" s="17"/>
      <c r="AB16" s="17" t="s">
        <v>49</v>
      </c>
      <c r="AC16" s="17"/>
      <c r="AD16" s="17" t="s">
        <v>50</v>
      </c>
      <c r="AE16" s="17"/>
      <c r="AF16" s="17"/>
      <c r="AG16" s="17"/>
      <c r="AH16" s="17"/>
      <c r="AI16" s="17"/>
      <c r="AJ16" s="17"/>
      <c r="AK16" s="29"/>
    </row>
    <row r="17" spans="1:37" ht="9.9499999999999993">
      <c r="A17" s="29">
        <v>46266</v>
      </c>
      <c r="B17" s="22">
        <v>33928091</v>
      </c>
      <c r="C17" s="17" t="s">
        <v>104</v>
      </c>
      <c r="D17" s="17" t="s">
        <v>38</v>
      </c>
      <c r="E17" s="17" t="s">
        <v>38</v>
      </c>
      <c r="F17" s="17"/>
      <c r="G17" s="17"/>
      <c r="H17" s="17" t="s">
        <v>105</v>
      </c>
      <c r="I17" s="17" t="s">
        <v>40</v>
      </c>
      <c r="J17" s="17" t="s">
        <v>41</v>
      </c>
      <c r="K17" s="17" t="s">
        <v>64</v>
      </c>
      <c r="L17" s="36" t="s">
        <v>43</v>
      </c>
      <c r="M17" s="103"/>
      <c r="N17" s="38" t="s">
        <v>106</v>
      </c>
      <c r="O17" s="36" t="str">
        <f>VLOOKUP(L17,CECOs!A:B,2,0)</f>
        <v>Sueldos TECPE</v>
      </c>
      <c r="P17" s="17" t="e">
        <f>VLOOKUP(B:B,CECOs!G:I,3,FALSE)</f>
        <v>#N/A</v>
      </c>
      <c r="Q17" s="17" t="str">
        <f>IF(_xlfn.XLOOKUP(L17,CECOs!A:A,CECOs!C:C,"")="",K17,_xlfn.XLOOKUP(L17,CECOs!A:A,CECOs!C:C,""))</f>
        <v>Gili Arianna</v>
      </c>
      <c r="R17" s="17" t="s">
        <v>38</v>
      </c>
      <c r="S17" s="17" t="s">
        <v>45</v>
      </c>
      <c r="T17" s="17"/>
      <c r="U17" s="17" t="s">
        <v>47</v>
      </c>
      <c r="V17" s="17" t="s">
        <v>48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92"/>
    </row>
    <row r="18" spans="1:37" ht="9.9499999999999993">
      <c r="A18" s="29">
        <v>46266</v>
      </c>
      <c r="B18" s="22">
        <v>3392810</v>
      </c>
      <c r="C18" s="17" t="s">
        <v>107</v>
      </c>
      <c r="D18" s="17" t="s">
        <v>38</v>
      </c>
      <c r="E18" s="17" t="s">
        <v>38</v>
      </c>
      <c r="F18" s="17"/>
      <c r="G18" s="17" t="str">
        <f>Table1[[#This Row],[DESCRIPCION_POSICION]]</f>
        <v>Accounts Payable Analyst</v>
      </c>
      <c r="H18" s="17" t="s">
        <v>108</v>
      </c>
      <c r="I18" s="17" t="s">
        <v>40</v>
      </c>
      <c r="J18" s="17" t="s">
        <v>41</v>
      </c>
      <c r="K18" s="17" t="s">
        <v>109</v>
      </c>
      <c r="L18" s="36" t="s">
        <v>43</v>
      </c>
      <c r="M18" s="103"/>
      <c r="N18" s="38" t="s">
        <v>110</v>
      </c>
      <c r="O18" s="36" t="str">
        <f>VLOOKUP(L18,CECOs!A:B,2,0)</f>
        <v>Sueldos TECPE</v>
      </c>
      <c r="P18" s="17" t="e">
        <f>VLOOKUP(B:B,CECOs!G:I,3,FALSE)</f>
        <v>#N/A</v>
      </c>
      <c r="Q18" s="17" t="str">
        <f>IF(_xlfn.XLOOKUP(L18,CECOs!A:A,CECOs!C:C,"")="",K18,_xlfn.XLOOKUP(L18,CECOs!A:A,CECOs!C:C,""))</f>
        <v>Romano Mariano Bruno</v>
      </c>
      <c r="R18" s="17" t="s">
        <v>38</v>
      </c>
      <c r="S18" s="17" t="s">
        <v>45</v>
      </c>
      <c r="T18" s="17" t="s">
        <v>111</v>
      </c>
      <c r="U18" s="17" t="s">
        <v>112</v>
      </c>
      <c r="V18" s="17" t="s">
        <v>48</v>
      </c>
      <c r="W18" s="17"/>
      <c r="X18" s="17"/>
      <c r="Y18" s="17"/>
      <c r="Z18" s="17"/>
      <c r="AA18" s="17"/>
      <c r="AB18" s="17" t="s">
        <v>49</v>
      </c>
      <c r="AC18" s="17"/>
      <c r="AD18" s="17" t="s">
        <v>50</v>
      </c>
      <c r="AE18" s="17"/>
      <c r="AF18" s="17"/>
      <c r="AG18" s="17"/>
      <c r="AH18" s="17"/>
      <c r="AI18" s="17"/>
      <c r="AJ18" s="17"/>
      <c r="AK18" s="29"/>
    </row>
    <row r="19" spans="1:37" ht="9.9499999999999993">
      <c r="A19" s="29">
        <v>46266</v>
      </c>
      <c r="B19" s="22">
        <v>3392811</v>
      </c>
      <c r="C19" s="17" t="s">
        <v>113</v>
      </c>
      <c r="D19" s="17" t="s">
        <v>38</v>
      </c>
      <c r="E19" s="17" t="s">
        <v>38</v>
      </c>
      <c r="F19" s="17"/>
      <c r="G19" s="17" t="str">
        <f>Table1[[#This Row],[DESCRIPCION_POSICION]]</f>
        <v>HRBP Analyst</v>
      </c>
      <c r="H19" s="17" t="s">
        <v>114</v>
      </c>
      <c r="I19" s="17" t="s">
        <v>40</v>
      </c>
      <c r="J19" s="17" t="s">
        <v>68</v>
      </c>
      <c r="K19" s="17" t="s">
        <v>115</v>
      </c>
      <c r="L19" s="36" t="s">
        <v>116</v>
      </c>
      <c r="M19" s="103"/>
      <c r="N19" s="38" t="s">
        <v>117</v>
      </c>
      <c r="O19" s="36" t="str">
        <f>VLOOKUP(L19,CECOs!A:B,2,0)</f>
        <v>Indirectos PRR</v>
      </c>
      <c r="P19" s="17" t="str">
        <f>VLOOKUP(B:B,CECOs!G:I,3,FALSE)</f>
        <v>Personalnooperativo</v>
      </c>
      <c r="Q19" s="17" t="str">
        <f>IF(_xlfn.XLOOKUP(L19,CECOs!A:A,CECOs!C:C,"")="",K19,_xlfn.XLOOKUP(L19,CECOs!A:A,CECOs!C:C,""))</f>
        <v>Corbalan Federico Martin</v>
      </c>
      <c r="R19" s="17" t="s">
        <v>38</v>
      </c>
      <c r="S19" s="17" t="s">
        <v>45</v>
      </c>
      <c r="T19" s="17" t="s">
        <v>46</v>
      </c>
      <c r="U19" s="17" t="s">
        <v>118</v>
      </c>
      <c r="V19" s="17" t="s">
        <v>48</v>
      </c>
      <c r="W19" s="17"/>
      <c r="X19" s="17"/>
      <c r="Y19" s="17"/>
      <c r="Z19" s="17"/>
      <c r="AA19" s="17"/>
      <c r="AB19" s="17" t="s">
        <v>49</v>
      </c>
      <c r="AC19" s="17"/>
      <c r="AD19" s="17" t="s">
        <v>50</v>
      </c>
      <c r="AE19" s="17"/>
      <c r="AF19" s="17"/>
      <c r="AG19" s="17"/>
      <c r="AH19" s="17"/>
      <c r="AI19" s="17"/>
      <c r="AJ19" s="17"/>
      <c r="AK19" s="29"/>
    </row>
    <row r="20" spans="1:37" ht="9.9499999999999993">
      <c r="A20" s="29">
        <v>46266</v>
      </c>
      <c r="B20" s="22">
        <v>3392812</v>
      </c>
      <c r="C20" s="17" t="s">
        <v>119</v>
      </c>
      <c r="D20" s="17" t="s">
        <v>38</v>
      </c>
      <c r="E20" s="17" t="s">
        <v>38</v>
      </c>
      <c r="F20" s="17"/>
      <c r="G20" s="17" t="str">
        <f>Table1[[#This Row],[DESCRIPCION_POSICION]]</f>
        <v>HRBP Sr. Analyst</v>
      </c>
      <c r="H20" s="17" t="s">
        <v>120</v>
      </c>
      <c r="I20" s="17" t="s">
        <v>40</v>
      </c>
      <c r="J20" s="17" t="s">
        <v>68</v>
      </c>
      <c r="K20" s="17" t="s">
        <v>115</v>
      </c>
      <c r="L20" s="36" t="s">
        <v>116</v>
      </c>
      <c r="M20" s="103"/>
      <c r="N20" s="38" t="s">
        <v>121</v>
      </c>
      <c r="O20" s="36" t="str">
        <f>VLOOKUP(L20,CECOs!A:B,2,0)</f>
        <v>Indirectos PRR</v>
      </c>
      <c r="P20" s="17" t="str">
        <f>VLOOKUP(B:B,CECOs!G:I,3,FALSE)</f>
        <v>Personalnooperativo</v>
      </c>
      <c r="Q20" s="17" t="str">
        <f>IF(_xlfn.XLOOKUP(L20,CECOs!A:A,CECOs!C:C,"")="",K20,_xlfn.XLOOKUP(L20,CECOs!A:A,CECOs!C:C,""))</f>
        <v>Corbalan Federico Martin</v>
      </c>
      <c r="R20" s="17" t="s">
        <v>38</v>
      </c>
      <c r="S20" s="17" t="s">
        <v>45</v>
      </c>
      <c r="T20" s="17" t="s">
        <v>46</v>
      </c>
      <c r="U20" s="17" t="s">
        <v>118</v>
      </c>
      <c r="V20" s="17" t="s">
        <v>48</v>
      </c>
      <c r="W20" s="17"/>
      <c r="X20" s="17"/>
      <c r="Y20" s="17"/>
      <c r="Z20" s="17"/>
      <c r="AA20" s="17"/>
      <c r="AB20" s="17" t="s">
        <v>49</v>
      </c>
      <c r="AC20" s="17"/>
      <c r="AD20" s="17" t="s">
        <v>50</v>
      </c>
      <c r="AE20" s="17"/>
      <c r="AF20" s="17"/>
      <c r="AG20" s="17"/>
      <c r="AH20" s="17"/>
      <c r="AI20" s="17"/>
      <c r="AJ20" s="17"/>
      <c r="AK20" s="29"/>
    </row>
    <row r="21" spans="1:37" ht="9.9499999999999993">
      <c r="A21" s="29">
        <v>46266</v>
      </c>
      <c r="B21" s="22">
        <v>3423705</v>
      </c>
      <c r="C21" s="17" t="s">
        <v>119</v>
      </c>
      <c r="D21" s="17" t="s">
        <v>38</v>
      </c>
      <c r="E21" s="17" t="s">
        <v>38</v>
      </c>
      <c r="F21" s="17"/>
      <c r="G21" s="17" t="str">
        <f>Table1[[#This Row],[DESCRIPCION_POSICION]]</f>
        <v>HRBP Sr. Analyst</v>
      </c>
      <c r="H21" s="53" t="s">
        <v>122</v>
      </c>
      <c r="I21" s="17" t="s">
        <v>40</v>
      </c>
      <c r="J21" s="17" t="s">
        <v>68</v>
      </c>
      <c r="K21" s="17" t="s">
        <v>115</v>
      </c>
      <c r="L21" s="36" t="s">
        <v>116</v>
      </c>
      <c r="M21" s="103"/>
      <c r="N21" s="80" t="s">
        <v>123</v>
      </c>
      <c r="O21" s="36" t="str">
        <f>VLOOKUP(L21,CECOs!A:B,2,0)</f>
        <v>Indirectos PRR</v>
      </c>
      <c r="P21" s="17" t="str">
        <f>VLOOKUP(B:B,CECOs!G:I,3,FALSE)</f>
        <v>Personalnooperativo</v>
      </c>
      <c r="Q21" s="17" t="str">
        <f>IF(_xlfn.XLOOKUP(L21,CECOs!A:A,CECOs!C:C,"")="",K21,_xlfn.XLOOKUP(L21,CECOs!A:A,CECOs!C:C,""))</f>
        <v>Corbalan Federico Martin</v>
      </c>
      <c r="R21" s="17" t="s">
        <v>38</v>
      </c>
      <c r="S21" s="17" t="s">
        <v>45</v>
      </c>
      <c r="T21" s="17" t="s">
        <v>46</v>
      </c>
      <c r="U21" s="17" t="s">
        <v>118</v>
      </c>
      <c r="V21" s="17" t="s">
        <v>48</v>
      </c>
      <c r="W21" s="17"/>
      <c r="X21" s="17"/>
      <c r="Y21" s="17"/>
      <c r="Z21" s="17"/>
      <c r="AA21" s="17"/>
      <c r="AB21" s="17" t="s">
        <v>49</v>
      </c>
      <c r="AC21" s="17"/>
      <c r="AD21" s="17" t="s">
        <v>50</v>
      </c>
      <c r="AE21" s="17"/>
      <c r="AF21" s="17"/>
      <c r="AG21" s="17"/>
      <c r="AH21" s="17"/>
      <c r="AI21" s="17"/>
      <c r="AJ21" s="17"/>
      <c r="AK21" s="29"/>
    </row>
    <row r="22" spans="1:37" ht="9.9499999999999993">
      <c r="A22" s="29">
        <v>46266</v>
      </c>
      <c r="B22" s="22">
        <v>3437875</v>
      </c>
      <c r="C22" s="17" t="s">
        <v>113</v>
      </c>
      <c r="D22" s="17" t="s">
        <v>38</v>
      </c>
      <c r="E22" s="17" t="s">
        <v>38</v>
      </c>
      <c r="F22" s="17"/>
      <c r="G22" s="17" t="str">
        <f>Table1[[#This Row],[DESCRIPCION_POSICION]]</f>
        <v>HRBP Analyst</v>
      </c>
      <c r="H22" s="53" t="s">
        <v>124</v>
      </c>
      <c r="I22" s="17" t="s">
        <v>40</v>
      </c>
      <c r="J22" s="17" t="s">
        <v>68</v>
      </c>
      <c r="K22" s="17" t="s">
        <v>115</v>
      </c>
      <c r="L22" s="36" t="s">
        <v>116</v>
      </c>
      <c r="M22" s="103"/>
      <c r="N22" s="80" t="s">
        <v>125</v>
      </c>
      <c r="O22" s="36" t="str">
        <f>VLOOKUP(L22,CECOs!A:B,2,0)</f>
        <v>Indirectos PRR</v>
      </c>
      <c r="P22" s="17" t="str">
        <f>VLOOKUP(B:B,CECOs!G:I,3,FALSE)</f>
        <v>Personalnooperativo</v>
      </c>
      <c r="Q22" s="17" t="str">
        <f>IF(_xlfn.XLOOKUP(L22,CECOs!A:A,CECOs!C:C,"")="",K22,_xlfn.XLOOKUP(L22,CECOs!A:A,CECOs!C:C,""))</f>
        <v>Corbalan Federico Martin</v>
      </c>
      <c r="R22" s="17" t="s">
        <v>38</v>
      </c>
      <c r="S22" s="17" t="s">
        <v>45</v>
      </c>
      <c r="T22" s="17"/>
      <c r="U22" s="17" t="s">
        <v>118</v>
      </c>
      <c r="V22" s="17" t="s">
        <v>48</v>
      </c>
      <c r="W22" s="17"/>
      <c r="X22" s="17"/>
      <c r="Y22" s="17"/>
      <c r="Z22" s="17"/>
      <c r="AA22" s="17"/>
      <c r="AB22" s="17" t="s">
        <v>49</v>
      </c>
      <c r="AC22" s="17"/>
      <c r="AD22" s="17" t="s">
        <v>50</v>
      </c>
      <c r="AE22" s="17"/>
      <c r="AF22" s="17"/>
      <c r="AG22" s="17"/>
      <c r="AH22" s="17"/>
      <c r="AI22" s="17"/>
      <c r="AJ22" s="17"/>
      <c r="AK22" s="29"/>
    </row>
    <row r="23" spans="1:37" ht="9.9499999999999993">
      <c r="A23" s="29">
        <v>46266</v>
      </c>
      <c r="B23" s="22">
        <v>3437846</v>
      </c>
      <c r="C23" s="17" t="s">
        <v>126</v>
      </c>
      <c r="D23" s="17" t="s">
        <v>38</v>
      </c>
      <c r="E23" s="17" t="s">
        <v>38</v>
      </c>
      <c r="F23" s="17"/>
      <c r="G23" s="17" t="str">
        <f>Table1[[#This Row],[DESCRIPCION_POSICION]]</f>
        <v>Labor Relations Expert</v>
      </c>
      <c r="H23" s="49"/>
      <c r="I23" s="17" t="s">
        <v>40</v>
      </c>
      <c r="J23" s="17" t="s">
        <v>68</v>
      </c>
      <c r="K23" s="17" t="s">
        <v>127</v>
      </c>
      <c r="L23" s="36" t="s">
        <v>116</v>
      </c>
      <c r="M23" s="103"/>
      <c r="N23" s="48" t="s">
        <v>128</v>
      </c>
      <c r="O23" s="36" t="str">
        <f>VLOOKUP(L23,CECOs!A:B,2,0)</f>
        <v>Indirectos PRR</v>
      </c>
      <c r="P23" s="17" t="str">
        <f>VLOOKUP(B:B,CECOs!G:I,3,FALSE)</f>
        <v>Personalnooperativo</v>
      </c>
      <c r="Q23" s="17" t="str">
        <f>IF(_xlfn.XLOOKUP(L23,CECOs!A:A,CECOs!C:C,"")="",K23,_xlfn.XLOOKUP(L23,CECOs!A:A,CECOs!C:C,""))</f>
        <v>Gaisch Alejandro Hector</v>
      </c>
      <c r="R23" s="17" t="s">
        <v>38</v>
      </c>
      <c r="S23" s="17" t="s">
        <v>45</v>
      </c>
      <c r="T23" s="17"/>
      <c r="U23" s="17" t="s">
        <v>129</v>
      </c>
      <c r="V23" s="17" t="s">
        <v>48</v>
      </c>
      <c r="W23" s="17"/>
      <c r="X23" s="17"/>
      <c r="Y23" s="17"/>
      <c r="Z23" s="17"/>
      <c r="AA23" s="17"/>
      <c r="AB23" s="17" t="s">
        <v>49</v>
      </c>
      <c r="AC23" s="17"/>
      <c r="AD23" s="17" t="s">
        <v>50</v>
      </c>
      <c r="AE23" s="17"/>
      <c r="AF23" s="17"/>
      <c r="AG23" s="17"/>
      <c r="AH23" s="17"/>
      <c r="AI23" s="17"/>
      <c r="AJ23" s="17"/>
      <c r="AK23" s="29"/>
    </row>
    <row r="24" spans="1:37" ht="9.9499999999999993">
      <c r="A24" s="29">
        <v>46266</v>
      </c>
      <c r="B24" s="22">
        <v>3392813</v>
      </c>
      <c r="C24" s="17" t="s">
        <v>126</v>
      </c>
      <c r="D24" s="17" t="s">
        <v>38</v>
      </c>
      <c r="E24" s="17" t="s">
        <v>38</v>
      </c>
      <c r="F24" s="17"/>
      <c r="G24" s="17" t="str">
        <f>Table1[[#This Row],[DESCRIPCION_POSICION]]</f>
        <v>Labor Relations Expert</v>
      </c>
      <c r="H24" s="17" t="s">
        <v>130</v>
      </c>
      <c r="I24" s="17" t="s">
        <v>40</v>
      </c>
      <c r="J24" s="17" t="s">
        <v>68</v>
      </c>
      <c r="K24" s="17" t="s">
        <v>127</v>
      </c>
      <c r="L24" s="36" t="s">
        <v>116</v>
      </c>
      <c r="M24" s="103"/>
      <c r="N24" s="38" t="s">
        <v>131</v>
      </c>
      <c r="O24" s="36" t="str">
        <f>VLOOKUP(L24,CECOs!A:B,2,0)</f>
        <v>Indirectos PRR</v>
      </c>
      <c r="P24" s="17" t="str">
        <f>VLOOKUP(B:B,CECOs!G:I,3,FALSE)</f>
        <v>Personalnooperativo</v>
      </c>
      <c r="Q24" s="17" t="str">
        <f>IF(_xlfn.XLOOKUP(L24,CECOs!A:A,CECOs!C:C,"")="",K24,_xlfn.XLOOKUP(L24,CECOs!A:A,CECOs!C:C,""))</f>
        <v>Gaisch Alejandro Hector</v>
      </c>
      <c r="R24" s="17" t="s">
        <v>38</v>
      </c>
      <c r="S24" s="17" t="s">
        <v>45</v>
      </c>
      <c r="T24" s="17" t="s">
        <v>132</v>
      </c>
      <c r="U24" s="17" t="s">
        <v>129</v>
      </c>
      <c r="V24" s="17" t="s">
        <v>48</v>
      </c>
      <c r="W24" s="17"/>
      <c r="X24" s="17"/>
      <c r="Y24" s="17"/>
      <c r="Z24" s="17"/>
      <c r="AA24" s="17"/>
      <c r="AB24" s="17" t="s">
        <v>49</v>
      </c>
      <c r="AC24" s="17"/>
      <c r="AD24" s="17" t="s">
        <v>50</v>
      </c>
      <c r="AE24" s="17"/>
      <c r="AF24" s="17"/>
      <c r="AG24" s="17"/>
      <c r="AH24" s="17"/>
      <c r="AI24" s="17"/>
      <c r="AJ24" s="17"/>
      <c r="AK24" s="29"/>
    </row>
    <row r="25" spans="1:37" ht="9.9499999999999993">
      <c r="A25" s="29">
        <v>46266</v>
      </c>
      <c r="B25" s="22">
        <v>3392814</v>
      </c>
      <c r="C25" s="17" t="s">
        <v>133</v>
      </c>
      <c r="D25" s="17" t="s">
        <v>38</v>
      </c>
      <c r="E25" s="17" t="s">
        <v>38</v>
      </c>
      <c r="F25" s="17"/>
      <c r="G25" s="17" t="str">
        <f>Table1[[#This Row],[DESCRIPCION_POSICION]]</f>
        <v>Quality Analyst</v>
      </c>
      <c r="H25" s="17" t="s">
        <v>134</v>
      </c>
      <c r="I25" s="17" t="s">
        <v>40</v>
      </c>
      <c r="J25" s="17" t="s">
        <v>68</v>
      </c>
      <c r="K25" s="17" t="s">
        <v>135</v>
      </c>
      <c r="L25" s="36" t="s">
        <v>116</v>
      </c>
      <c r="M25" s="103"/>
      <c r="N25" s="38" t="s">
        <v>136</v>
      </c>
      <c r="O25" s="36" t="str">
        <f>VLOOKUP(L25,CECOs!A:B,2,0)</f>
        <v>Indirectos PRR</v>
      </c>
      <c r="P25" s="17" t="str">
        <f>VLOOKUP(B:B,CECOs!G:I,3,FALSE)</f>
        <v>Personalnooperativo</v>
      </c>
      <c r="Q25" s="17" t="str">
        <f>IF(_xlfn.XLOOKUP(L25,CECOs!A:A,CECOs!C:C,"")="",K25,_xlfn.XLOOKUP(L25,CECOs!A:A,CECOs!C:C,""))</f>
        <v>Seri Walter Omar</v>
      </c>
      <c r="R25" s="17" t="s">
        <v>38</v>
      </c>
      <c r="S25" s="17" t="s">
        <v>45</v>
      </c>
      <c r="T25" s="17" t="s">
        <v>137</v>
      </c>
      <c r="U25" s="17" t="s">
        <v>138</v>
      </c>
      <c r="V25" s="17" t="s">
        <v>48</v>
      </c>
      <c r="W25" s="17"/>
      <c r="X25" s="17"/>
      <c r="Y25" s="17"/>
      <c r="Z25" s="17"/>
      <c r="AA25" s="17"/>
      <c r="AB25" s="17" t="s">
        <v>49</v>
      </c>
      <c r="AC25" s="17"/>
      <c r="AD25" s="17" t="s">
        <v>50</v>
      </c>
      <c r="AE25" s="17"/>
      <c r="AF25" s="17"/>
      <c r="AG25" s="17"/>
      <c r="AH25" s="17"/>
      <c r="AI25" s="17"/>
      <c r="AJ25" s="17"/>
      <c r="AK25" s="29"/>
    </row>
    <row r="26" spans="1:37" ht="9.9499999999999993">
      <c r="A26" s="29">
        <v>46266</v>
      </c>
      <c r="B26" s="22">
        <v>3392815</v>
      </c>
      <c r="C26" s="17" t="s">
        <v>139</v>
      </c>
      <c r="D26" s="17" t="s">
        <v>38</v>
      </c>
      <c r="E26" s="17" t="s">
        <v>38</v>
      </c>
      <c r="F26" s="17"/>
      <c r="G26" s="17" t="str">
        <f>Table1[[#This Row],[DESCRIPCION_POSICION]]</f>
        <v>General Services Supervisor</v>
      </c>
      <c r="H26" s="17" t="s">
        <v>140</v>
      </c>
      <c r="I26" s="17" t="s">
        <v>40</v>
      </c>
      <c r="J26" s="17" t="s">
        <v>68</v>
      </c>
      <c r="K26" s="17" t="s">
        <v>141</v>
      </c>
      <c r="L26" s="36" t="s">
        <v>116</v>
      </c>
      <c r="M26" s="103"/>
      <c r="N26" s="38" t="s">
        <v>142</v>
      </c>
      <c r="O26" s="36" t="str">
        <f>VLOOKUP(L26,CECOs!A:B,2,0)</f>
        <v>Indirectos PRR</v>
      </c>
      <c r="P26" s="17" t="str">
        <f>VLOOKUP(B:B,CECOs!G:I,3,FALSE)</f>
        <v>Supervisoroperativo/Producción</v>
      </c>
      <c r="Q26" s="17" t="str">
        <f>IF(_xlfn.XLOOKUP(L26,CECOs!A:A,CECOs!C:C,"")="",K26,_xlfn.XLOOKUP(L26,CECOs!A:A,CECOs!C:C,""))</f>
        <v>Zuluaga Gabriel</v>
      </c>
      <c r="R26" s="17" t="s">
        <v>38</v>
      </c>
      <c r="S26" s="17" t="s">
        <v>45</v>
      </c>
      <c r="T26" s="17" t="s">
        <v>46</v>
      </c>
      <c r="U26" s="17" t="s">
        <v>143</v>
      </c>
      <c r="V26" s="17" t="s">
        <v>48</v>
      </c>
      <c r="W26" s="17"/>
      <c r="X26" s="17"/>
      <c r="Y26" s="17"/>
      <c r="Z26" s="17"/>
      <c r="AA26" s="17"/>
      <c r="AB26" s="17" t="s">
        <v>49</v>
      </c>
      <c r="AC26" s="17"/>
      <c r="AD26" s="17" t="s">
        <v>50</v>
      </c>
      <c r="AE26" s="17"/>
      <c r="AF26" s="17"/>
      <c r="AG26" s="17"/>
      <c r="AH26" s="17"/>
      <c r="AI26" s="17"/>
      <c r="AJ26" s="17"/>
      <c r="AK26" s="29"/>
    </row>
    <row r="27" spans="1:37" ht="9.9499999999999993">
      <c r="A27" s="29">
        <v>46266</v>
      </c>
      <c r="B27" s="22">
        <v>3392816</v>
      </c>
      <c r="C27" s="17" t="s">
        <v>144</v>
      </c>
      <c r="D27" s="17" t="s">
        <v>38</v>
      </c>
      <c r="E27" s="17" t="s">
        <v>38</v>
      </c>
      <c r="F27" s="17"/>
      <c r="G27" s="17" t="str">
        <f>Table1[[#This Row],[DESCRIPCION_POSICION]]</f>
        <v>HSE Sr. Supervisor</v>
      </c>
      <c r="H27" s="17" t="s">
        <v>145</v>
      </c>
      <c r="I27" s="17" t="s">
        <v>40</v>
      </c>
      <c r="J27" s="17" t="s">
        <v>68</v>
      </c>
      <c r="K27" s="17" t="s">
        <v>146</v>
      </c>
      <c r="L27" s="36" t="s">
        <v>147</v>
      </c>
      <c r="M27" s="103"/>
      <c r="N27" s="38" t="s">
        <v>148</v>
      </c>
      <c r="O27" s="36" t="str">
        <f>VLOOKUP(L27,CECOs!A:B,2,0)</f>
        <v>SAS PRR</v>
      </c>
      <c r="P27" s="17" t="str">
        <f>VLOOKUP(B:B,CECOs!G:I,3,FALSE)</f>
        <v>SupervisoresSAS/OT</v>
      </c>
      <c r="Q27" s="17" t="str">
        <f>IF(_xlfn.XLOOKUP(L27,CECOs!A:A,CECOs!C:C,"")="",K27,_xlfn.XLOOKUP(L27,CECOs!A:A,CECOs!C:C,""))</f>
        <v>Chazarreta Jose Antonio</v>
      </c>
      <c r="R27" s="17" t="s">
        <v>38</v>
      </c>
      <c r="S27" s="17" t="s">
        <v>45</v>
      </c>
      <c r="T27" s="17" t="s">
        <v>149</v>
      </c>
      <c r="U27" s="17" t="s">
        <v>150</v>
      </c>
      <c r="V27" s="17" t="s">
        <v>48</v>
      </c>
      <c r="W27" s="17"/>
      <c r="X27" s="17"/>
      <c r="Y27" s="17"/>
      <c r="Z27" s="17"/>
      <c r="AA27" s="17"/>
      <c r="AB27" s="17" t="s">
        <v>49</v>
      </c>
      <c r="AC27" s="17"/>
      <c r="AD27" s="17" t="s">
        <v>50</v>
      </c>
      <c r="AE27" s="17"/>
      <c r="AF27" s="17"/>
      <c r="AG27" s="17"/>
      <c r="AH27" s="17"/>
      <c r="AI27" s="17"/>
      <c r="AJ27" s="17"/>
      <c r="AK27" s="29"/>
    </row>
    <row r="28" spans="1:37" ht="9.9499999999999993">
      <c r="A28" s="29">
        <v>46266</v>
      </c>
      <c r="B28" s="22">
        <v>3392817</v>
      </c>
      <c r="C28" s="17" t="s">
        <v>144</v>
      </c>
      <c r="D28" s="17" t="s">
        <v>38</v>
      </c>
      <c r="E28" s="17" t="s">
        <v>38</v>
      </c>
      <c r="F28" s="17"/>
      <c r="G28" s="17" t="str">
        <f>Table1[[#This Row],[DESCRIPCION_POSICION]]</f>
        <v>HSE Sr. Supervisor</v>
      </c>
      <c r="H28" s="17" t="s">
        <v>151</v>
      </c>
      <c r="I28" s="17" t="s">
        <v>40</v>
      </c>
      <c r="J28" s="17" t="s">
        <v>68</v>
      </c>
      <c r="K28" s="17" t="s">
        <v>146</v>
      </c>
      <c r="L28" s="36" t="s">
        <v>147</v>
      </c>
      <c r="M28" s="103"/>
      <c r="N28" s="38" t="s">
        <v>152</v>
      </c>
      <c r="O28" s="36" t="str">
        <f>VLOOKUP(L28,CECOs!A:B,2,0)</f>
        <v>SAS PRR</v>
      </c>
      <c r="P28" s="17" t="str">
        <f>VLOOKUP(B:B,CECOs!G:I,3,FALSE)</f>
        <v>SupervisoresSAS/OT</v>
      </c>
      <c r="Q28" s="17" t="str">
        <f>IF(_xlfn.XLOOKUP(L28,CECOs!A:A,CECOs!C:C,"")="",K28,_xlfn.XLOOKUP(L28,CECOs!A:A,CECOs!C:C,""))</f>
        <v>Chazarreta Jose Antonio</v>
      </c>
      <c r="R28" s="17" t="s">
        <v>38</v>
      </c>
      <c r="S28" s="17" t="s">
        <v>45</v>
      </c>
      <c r="T28" s="17" t="s">
        <v>149</v>
      </c>
      <c r="U28" s="17" t="s">
        <v>150</v>
      </c>
      <c r="V28" s="17" t="s">
        <v>48</v>
      </c>
      <c r="W28" s="17"/>
      <c r="X28" s="17"/>
      <c r="Y28" s="17"/>
      <c r="Z28" s="17"/>
      <c r="AA28" s="17"/>
      <c r="AB28" s="17" t="s">
        <v>49</v>
      </c>
      <c r="AC28" s="17"/>
      <c r="AD28" s="17" t="s">
        <v>50</v>
      </c>
      <c r="AE28" s="17"/>
      <c r="AF28" s="17"/>
      <c r="AG28" s="17"/>
      <c r="AH28" s="17"/>
      <c r="AI28" s="17"/>
      <c r="AJ28" s="17"/>
      <c r="AK28" s="29"/>
    </row>
    <row r="29" spans="1:37" ht="9.9499999999999993">
      <c r="A29" s="29">
        <v>46266</v>
      </c>
      <c r="B29" s="22">
        <v>3392818</v>
      </c>
      <c r="C29" s="17" t="s">
        <v>144</v>
      </c>
      <c r="D29" s="17" t="s">
        <v>38</v>
      </c>
      <c r="E29" s="17" t="s">
        <v>38</v>
      </c>
      <c r="F29" s="17"/>
      <c r="G29" s="17" t="str">
        <f>Table1[[#This Row],[DESCRIPCION_POSICION]]</f>
        <v>HSE Sr. Supervisor</v>
      </c>
      <c r="H29" s="17" t="s">
        <v>153</v>
      </c>
      <c r="I29" s="17" t="s">
        <v>40</v>
      </c>
      <c r="J29" s="17" t="s">
        <v>68</v>
      </c>
      <c r="K29" s="17" t="s">
        <v>146</v>
      </c>
      <c r="L29" s="36" t="s">
        <v>147</v>
      </c>
      <c r="M29" s="103"/>
      <c r="N29" s="38" t="s">
        <v>154</v>
      </c>
      <c r="O29" s="36" t="str">
        <f>VLOOKUP(L29,CECOs!A:B,2,0)</f>
        <v>SAS PRR</v>
      </c>
      <c r="P29" s="17" t="str">
        <f>VLOOKUP(B:B,CECOs!G:I,3,FALSE)</f>
        <v>SupervisoresSAS/OT</v>
      </c>
      <c r="Q29" s="17" t="str">
        <f>IF(_xlfn.XLOOKUP(L29,CECOs!A:A,CECOs!C:C,"")="",K29,_xlfn.XLOOKUP(L29,CECOs!A:A,CECOs!C:C,""))</f>
        <v>Chazarreta Jose Antonio</v>
      </c>
      <c r="R29" s="17" t="s">
        <v>38</v>
      </c>
      <c r="S29" s="17" t="s">
        <v>45</v>
      </c>
      <c r="T29" s="17" t="s">
        <v>149</v>
      </c>
      <c r="U29" s="17" t="s">
        <v>150</v>
      </c>
      <c r="V29" s="17" t="s">
        <v>48</v>
      </c>
      <c r="W29" s="17"/>
      <c r="X29" s="17"/>
      <c r="Y29" s="17"/>
      <c r="Z29" s="17"/>
      <c r="AA29" s="17"/>
      <c r="AB29" s="17" t="s">
        <v>49</v>
      </c>
      <c r="AC29" s="17"/>
      <c r="AD29" s="17" t="s">
        <v>50</v>
      </c>
      <c r="AE29" s="17"/>
      <c r="AF29" s="17"/>
      <c r="AG29" s="17"/>
      <c r="AH29" s="17"/>
      <c r="AI29" s="17"/>
      <c r="AJ29" s="17"/>
      <c r="AK29" s="29"/>
    </row>
    <row r="30" spans="1:37" ht="9.9499999999999993">
      <c r="A30" s="29">
        <v>46266</v>
      </c>
      <c r="B30" s="22">
        <v>3392819</v>
      </c>
      <c r="C30" s="17" t="s">
        <v>144</v>
      </c>
      <c r="D30" s="17" t="s">
        <v>38</v>
      </c>
      <c r="E30" s="17" t="s">
        <v>38</v>
      </c>
      <c r="F30" s="17"/>
      <c r="G30" s="17" t="str">
        <f>Table1[[#This Row],[DESCRIPCION_POSICION]]</f>
        <v>HSE Sr. Supervisor</v>
      </c>
      <c r="H30" s="17" t="s">
        <v>155</v>
      </c>
      <c r="I30" s="17" t="s">
        <v>40</v>
      </c>
      <c r="J30" s="17" t="s">
        <v>68</v>
      </c>
      <c r="K30" s="17" t="s">
        <v>146</v>
      </c>
      <c r="L30" s="36" t="s">
        <v>147</v>
      </c>
      <c r="M30" s="103"/>
      <c r="N30" s="38" t="s">
        <v>156</v>
      </c>
      <c r="O30" s="36" t="str">
        <f>VLOOKUP(L30,CECOs!A:B,2,0)</f>
        <v>SAS PRR</v>
      </c>
      <c r="P30" s="17" t="str">
        <f>VLOOKUP(B:B,CECOs!G:I,3,FALSE)</f>
        <v>SupervisoresSAS/OT</v>
      </c>
      <c r="Q30" s="17" t="str">
        <f>IF(_xlfn.XLOOKUP(L30,CECOs!A:A,CECOs!C:C,"")="",K30,_xlfn.XLOOKUP(L30,CECOs!A:A,CECOs!C:C,""))</f>
        <v>Chazarreta Jose Antonio</v>
      </c>
      <c r="R30" s="17" t="s">
        <v>38</v>
      </c>
      <c r="S30" s="17" t="s">
        <v>45</v>
      </c>
      <c r="T30" s="17" t="s">
        <v>149</v>
      </c>
      <c r="U30" s="17" t="s">
        <v>150</v>
      </c>
      <c r="V30" s="17" t="s">
        <v>48</v>
      </c>
      <c r="W30" s="17"/>
      <c r="X30" s="17"/>
      <c r="Y30" s="17"/>
      <c r="Z30" s="17"/>
      <c r="AA30" s="17"/>
      <c r="AB30" s="17" t="s">
        <v>49</v>
      </c>
      <c r="AC30" s="17"/>
      <c r="AD30" s="17" t="s">
        <v>50</v>
      </c>
      <c r="AE30" s="17"/>
      <c r="AF30" s="17"/>
      <c r="AG30" s="17"/>
      <c r="AH30" s="17"/>
      <c r="AI30" s="17"/>
      <c r="AJ30" s="17"/>
      <c r="AK30" s="29"/>
    </row>
    <row r="31" spans="1:37" ht="9.9499999999999993">
      <c r="A31" s="29">
        <v>46266</v>
      </c>
      <c r="B31" s="22">
        <v>3392820</v>
      </c>
      <c r="C31" s="17" t="s">
        <v>144</v>
      </c>
      <c r="D31" s="17" t="s">
        <v>38</v>
      </c>
      <c r="E31" s="17" t="s">
        <v>38</v>
      </c>
      <c r="F31" s="17"/>
      <c r="G31" s="17" t="str">
        <f>Table1[[#This Row],[DESCRIPCION_POSICION]]</f>
        <v>HSE Sr. Supervisor</v>
      </c>
      <c r="H31" s="17" t="s">
        <v>157</v>
      </c>
      <c r="I31" s="17" t="s">
        <v>40</v>
      </c>
      <c r="J31" s="17" t="s">
        <v>68</v>
      </c>
      <c r="K31" s="17" t="s">
        <v>158</v>
      </c>
      <c r="L31" s="36" t="s">
        <v>147</v>
      </c>
      <c r="M31" s="103"/>
      <c r="N31" s="38" t="s">
        <v>159</v>
      </c>
      <c r="O31" s="36" t="str">
        <f>VLOOKUP(L31,CECOs!A:B,2,0)</f>
        <v>SAS PRR</v>
      </c>
      <c r="P31" s="17" t="str">
        <f>VLOOKUP(B:B,CECOs!G:I,3,FALSE)</f>
        <v>SupervisoresSAS/OT</v>
      </c>
      <c r="Q31" s="17" t="str">
        <f>IF(_xlfn.XLOOKUP(L31,CECOs!A:A,CECOs!C:C,"")="",K31,_xlfn.XLOOKUP(L31,CECOs!A:A,CECOs!C:C,""))</f>
        <v>Lemes Mariana De Los Angeles</v>
      </c>
      <c r="R31" s="17" t="s">
        <v>38</v>
      </c>
      <c r="S31" s="17" t="s">
        <v>45</v>
      </c>
      <c r="T31" s="17" t="s">
        <v>149</v>
      </c>
      <c r="U31" s="17" t="s">
        <v>150</v>
      </c>
      <c r="V31" s="17" t="s">
        <v>48</v>
      </c>
      <c r="W31" s="17"/>
      <c r="X31" s="17"/>
      <c r="Y31" s="17"/>
      <c r="Z31" s="17"/>
      <c r="AA31" s="17"/>
      <c r="AB31" s="17" t="s">
        <v>49</v>
      </c>
      <c r="AC31" s="17"/>
      <c r="AD31" s="17" t="s">
        <v>50</v>
      </c>
      <c r="AE31" s="17"/>
      <c r="AF31" s="17"/>
      <c r="AG31" s="17"/>
      <c r="AH31" s="17"/>
      <c r="AI31" s="17"/>
      <c r="AJ31" s="17"/>
      <c r="AK31" s="29"/>
    </row>
    <row r="32" spans="1:37" ht="9.9499999999999993">
      <c r="A32" s="29">
        <v>46266</v>
      </c>
      <c r="B32" s="22">
        <v>3392821</v>
      </c>
      <c r="C32" s="17" t="s">
        <v>144</v>
      </c>
      <c r="D32" s="17" t="s">
        <v>38</v>
      </c>
      <c r="E32" s="17" t="s">
        <v>38</v>
      </c>
      <c r="F32" s="17"/>
      <c r="G32" s="17" t="str">
        <f>Table1[[#This Row],[DESCRIPCION_POSICION]]</f>
        <v>HSE Sr. Supervisor</v>
      </c>
      <c r="H32" s="17" t="s">
        <v>160</v>
      </c>
      <c r="I32" s="17" t="s">
        <v>40</v>
      </c>
      <c r="J32" s="17" t="s">
        <v>68</v>
      </c>
      <c r="K32" s="17" t="s">
        <v>158</v>
      </c>
      <c r="L32" s="36" t="s">
        <v>147</v>
      </c>
      <c r="M32" s="103"/>
      <c r="N32" s="38" t="s">
        <v>161</v>
      </c>
      <c r="O32" s="36" t="str">
        <f>VLOOKUP(L32,CECOs!A:B,2,0)</f>
        <v>SAS PRR</v>
      </c>
      <c r="P32" s="17" t="str">
        <f>VLOOKUP(B:B,CECOs!G:I,3,FALSE)</f>
        <v>SupervisoresSAS/OT</v>
      </c>
      <c r="Q32" s="17" t="str">
        <f>IF(_xlfn.XLOOKUP(L32,CECOs!A:A,CECOs!C:C,"")="",K32,_xlfn.XLOOKUP(L32,CECOs!A:A,CECOs!C:C,""))</f>
        <v>Lemes Mariana De Los Angeles</v>
      </c>
      <c r="R32" s="17" t="s">
        <v>38</v>
      </c>
      <c r="S32" s="17" t="s">
        <v>45</v>
      </c>
      <c r="T32" s="17" t="s">
        <v>149</v>
      </c>
      <c r="U32" s="17" t="s">
        <v>150</v>
      </c>
      <c r="V32" s="17" t="s">
        <v>48</v>
      </c>
      <c r="W32" s="17"/>
      <c r="X32" s="17"/>
      <c r="Y32" s="17"/>
      <c r="Z32" s="17"/>
      <c r="AA32" s="17"/>
      <c r="AB32" s="17" t="s">
        <v>49</v>
      </c>
      <c r="AC32" s="17"/>
      <c r="AD32" s="17" t="s">
        <v>50</v>
      </c>
      <c r="AE32" s="17"/>
      <c r="AF32" s="17"/>
      <c r="AG32" s="17"/>
      <c r="AH32" s="17"/>
      <c r="AI32" s="17"/>
      <c r="AJ32" s="17"/>
      <c r="AK32" s="29"/>
    </row>
    <row r="33" spans="1:37" ht="9.9499999999999993">
      <c r="A33" s="29">
        <v>46266</v>
      </c>
      <c r="B33" s="22">
        <v>3424838</v>
      </c>
      <c r="C33" s="17" t="s">
        <v>71</v>
      </c>
      <c r="D33" s="17" t="s">
        <v>38</v>
      </c>
      <c r="E33" s="17" t="s">
        <v>38</v>
      </c>
      <c r="F33" s="17"/>
      <c r="G33" s="17" t="str">
        <f>Table1[[#This Row],[DESCRIPCION_POSICION]]</f>
        <v>Operations Services Coordinator</v>
      </c>
      <c r="H33" s="17" t="s">
        <v>162</v>
      </c>
      <c r="I33" s="17" t="s">
        <v>40</v>
      </c>
      <c r="J33" s="17" t="s">
        <v>68</v>
      </c>
      <c r="K33" s="17" t="s">
        <v>78</v>
      </c>
      <c r="L33" s="36" t="s">
        <v>163</v>
      </c>
      <c r="M33" s="103"/>
      <c r="N33" s="38" t="s">
        <v>164</v>
      </c>
      <c r="O33" s="36" t="str">
        <f>VLOOKUP(L33,CECOs!A:B,2,0)</f>
        <v>Facilitadores LT2E</v>
      </c>
      <c r="P33" s="17" t="str">
        <f>VLOOKUP(B:B,CECOs!G:I,3,FALSE)</f>
        <v>FacilitadordeServicios</v>
      </c>
      <c r="Q33" s="17" t="str">
        <f>IF(_xlfn.XLOOKUP(L33,CECOs!A:A,CECOs!C:C,"")="",K33,_xlfn.XLOOKUP(L33,CECOs!A:A,CECOs!C:C,""))</f>
        <v>Lopez Rodrigo Gaston</v>
      </c>
      <c r="R33" s="17" t="s">
        <v>38</v>
      </c>
      <c r="S33" s="17" t="s">
        <v>45</v>
      </c>
      <c r="T33" s="17"/>
      <c r="U33" s="17" t="s">
        <v>47</v>
      </c>
      <c r="V33" s="17" t="s">
        <v>48</v>
      </c>
      <c r="W33" s="17"/>
      <c r="X33" s="17"/>
      <c r="Y33" s="17"/>
      <c r="Z33" s="17"/>
      <c r="AA33" s="17"/>
      <c r="AB33" s="17" t="s">
        <v>49</v>
      </c>
      <c r="AC33" s="17"/>
      <c r="AD33" s="17" t="s">
        <v>50</v>
      </c>
      <c r="AE33" s="17"/>
      <c r="AF33" s="17"/>
      <c r="AG33" s="17"/>
      <c r="AH33" s="17"/>
      <c r="AI33" s="17"/>
      <c r="AJ33" s="17"/>
      <c r="AK33" s="29"/>
    </row>
    <row r="34" spans="1:37" ht="9.9499999999999993">
      <c r="A34" s="29">
        <v>46266</v>
      </c>
      <c r="B34" s="22">
        <v>3424839</v>
      </c>
      <c r="C34" s="17" t="s">
        <v>71</v>
      </c>
      <c r="D34" s="17" t="s">
        <v>38</v>
      </c>
      <c r="E34" s="17" t="s">
        <v>38</v>
      </c>
      <c r="F34" s="17"/>
      <c r="G34" s="17" t="str">
        <f>Table1[[#This Row],[DESCRIPCION_POSICION]]</f>
        <v>Operations Services Coordinator</v>
      </c>
      <c r="H34" s="22" t="s">
        <v>165</v>
      </c>
      <c r="I34" s="17" t="s">
        <v>40</v>
      </c>
      <c r="J34" s="17" t="s">
        <v>68</v>
      </c>
      <c r="K34" s="17" t="s">
        <v>78</v>
      </c>
      <c r="L34" s="36" t="s">
        <v>163</v>
      </c>
      <c r="M34" s="103"/>
      <c r="N34" s="37" t="s">
        <v>166</v>
      </c>
      <c r="O34" s="36" t="str">
        <f>VLOOKUP(L34,CECOs!A:B,2,0)</f>
        <v>Facilitadores LT2E</v>
      </c>
      <c r="P34" s="17" t="str">
        <f>VLOOKUP(B:B,CECOs!G:I,3,FALSE)</f>
        <v>FacilitadordeServicios</v>
      </c>
      <c r="Q34" s="17" t="str">
        <f>IF(_xlfn.XLOOKUP(L34,CECOs!A:A,CECOs!C:C,"")="",K34,_xlfn.XLOOKUP(L34,CECOs!A:A,CECOs!C:C,""))</f>
        <v>Lopez Rodrigo Gaston</v>
      </c>
      <c r="R34" s="17" t="s">
        <v>38</v>
      </c>
      <c r="S34" s="17" t="s">
        <v>45</v>
      </c>
      <c r="T34" s="17"/>
      <c r="U34" s="17" t="s">
        <v>47</v>
      </c>
      <c r="V34" s="17" t="s">
        <v>48</v>
      </c>
      <c r="W34" s="17"/>
      <c r="X34" s="17"/>
      <c r="Y34" s="17"/>
      <c r="Z34" s="17"/>
      <c r="AA34" s="17"/>
      <c r="AB34" s="17" t="s">
        <v>49</v>
      </c>
      <c r="AC34" s="17"/>
      <c r="AD34" s="17" t="s">
        <v>50</v>
      </c>
      <c r="AE34" s="17"/>
      <c r="AF34" s="17"/>
      <c r="AG34" s="17"/>
      <c r="AH34" s="17"/>
      <c r="AI34" s="17"/>
      <c r="AJ34" s="17"/>
      <c r="AK34" s="29"/>
    </row>
    <row r="35" spans="1:37" ht="9.9499999999999993">
      <c r="A35" s="29">
        <v>46266</v>
      </c>
      <c r="B35" s="22">
        <v>3395761</v>
      </c>
      <c r="C35" s="17" t="s">
        <v>167</v>
      </c>
      <c r="D35" s="17" t="s">
        <v>38</v>
      </c>
      <c r="E35" s="17" t="s">
        <v>38</v>
      </c>
      <c r="F35" s="17"/>
      <c r="G35" s="17" t="str">
        <f>Table1[[#This Row],[DESCRIPCION_POSICION]]</f>
        <v>Medical Assistant</v>
      </c>
      <c r="H35" s="22" t="s">
        <v>168</v>
      </c>
      <c r="I35" s="17" t="s">
        <v>40</v>
      </c>
      <c r="J35" s="17" t="s">
        <v>68</v>
      </c>
      <c r="K35" s="17" t="s">
        <v>169</v>
      </c>
      <c r="L35" s="36" t="s">
        <v>147</v>
      </c>
      <c r="M35" s="103"/>
      <c r="N35" s="37" t="s">
        <v>170</v>
      </c>
      <c r="O35" s="36" t="str">
        <f>VLOOKUP(L35,CECOs!A:B,2,0)</f>
        <v>SAS PRR</v>
      </c>
      <c r="P35" s="17" t="str">
        <f>VLOOKUP(B:B,CECOs!G:I,3,FALSE)</f>
        <v>Personalnooperativo</v>
      </c>
      <c r="Q35" s="17" t="str">
        <f>IF(_xlfn.XLOOKUP(L35,CECOs!A:A,CECOs!C:C,"")="",K35,_xlfn.XLOOKUP(L35,CECOs!A:A,CECOs!C:C,""))</f>
        <v>Martel Maximiliano Jose Tomas</v>
      </c>
      <c r="R35" s="17" t="s">
        <v>38</v>
      </c>
      <c r="S35" s="17" t="s">
        <v>45</v>
      </c>
      <c r="T35" s="17" t="s">
        <v>149</v>
      </c>
      <c r="U35" s="17" t="s">
        <v>150</v>
      </c>
      <c r="V35" s="17" t="s">
        <v>48</v>
      </c>
      <c r="W35" s="17"/>
      <c r="X35" s="17"/>
      <c r="Y35" s="17"/>
      <c r="Z35" s="17"/>
      <c r="AA35" s="17"/>
      <c r="AB35" s="17" t="s">
        <v>49</v>
      </c>
      <c r="AC35" s="17"/>
      <c r="AD35" s="17" t="s">
        <v>50</v>
      </c>
      <c r="AE35" s="17"/>
      <c r="AF35" s="17"/>
      <c r="AG35" s="17"/>
      <c r="AH35" s="17"/>
      <c r="AI35" s="17"/>
      <c r="AJ35" s="17"/>
      <c r="AK35" s="29"/>
    </row>
    <row r="36" spans="1:37" ht="9.9499999999999993">
      <c r="A36" s="29">
        <v>46266</v>
      </c>
      <c r="B36" s="22">
        <v>3395760</v>
      </c>
      <c r="C36" s="17" t="s">
        <v>167</v>
      </c>
      <c r="D36" s="17" t="s">
        <v>38</v>
      </c>
      <c r="E36" s="17" t="s">
        <v>38</v>
      </c>
      <c r="F36" s="17"/>
      <c r="G36" s="17" t="str">
        <f>Table1[[#This Row],[DESCRIPCION_POSICION]]</f>
        <v>Medical Assistant</v>
      </c>
      <c r="H36" s="17" t="s">
        <v>171</v>
      </c>
      <c r="I36" s="17" t="s">
        <v>40</v>
      </c>
      <c r="J36" s="17" t="s">
        <v>68</v>
      </c>
      <c r="K36" s="17" t="s">
        <v>169</v>
      </c>
      <c r="L36" s="36" t="s">
        <v>147</v>
      </c>
      <c r="M36" s="103"/>
      <c r="N36" s="38" t="s">
        <v>172</v>
      </c>
      <c r="O36" s="36" t="str">
        <f>VLOOKUP(L36,CECOs!A:B,2,0)</f>
        <v>SAS PRR</v>
      </c>
      <c r="P36" s="17" t="str">
        <f>VLOOKUP(B:B,CECOs!G:I,3,FALSE)</f>
        <v>Personalnooperativo</v>
      </c>
      <c r="Q36" s="17" t="str">
        <f>IF(_xlfn.XLOOKUP(L36,CECOs!A:A,CECOs!C:C,"")="",K36,_xlfn.XLOOKUP(L36,CECOs!A:A,CECOs!C:C,""))</f>
        <v>Martel Maximiliano Jose Tomas</v>
      </c>
      <c r="R36" s="17" t="s">
        <v>38</v>
      </c>
      <c r="S36" s="17" t="s">
        <v>45</v>
      </c>
      <c r="T36" s="17" t="s">
        <v>149</v>
      </c>
      <c r="U36" s="17" t="s">
        <v>150</v>
      </c>
      <c r="V36" s="17" t="s">
        <v>48</v>
      </c>
      <c r="W36" s="17"/>
      <c r="X36" s="17"/>
      <c r="Y36" s="17"/>
      <c r="Z36" s="17"/>
      <c r="AA36" s="17"/>
      <c r="AB36" s="17" t="s">
        <v>49</v>
      </c>
      <c r="AC36" s="17"/>
      <c r="AD36" s="17" t="s">
        <v>50</v>
      </c>
      <c r="AE36" s="17"/>
      <c r="AF36" s="17"/>
      <c r="AG36" s="17"/>
      <c r="AH36" s="17"/>
      <c r="AI36" s="17"/>
      <c r="AJ36" s="17"/>
      <c r="AK36" s="29"/>
    </row>
    <row r="37" spans="1:37" ht="9.9499999999999993">
      <c r="A37" s="29">
        <v>46266</v>
      </c>
      <c r="B37" s="22">
        <v>3392823</v>
      </c>
      <c r="C37" s="17" t="s">
        <v>173</v>
      </c>
      <c r="D37" s="17" t="s">
        <v>38</v>
      </c>
      <c r="E37" s="17" t="s">
        <v>38</v>
      </c>
      <c r="F37" s="17"/>
      <c r="G37" s="17" t="str">
        <f>Table1[[#This Row],[DESCRIPCION_POSICION]]</f>
        <v>Environmental Supervisor</v>
      </c>
      <c r="H37" s="22" t="s">
        <v>174</v>
      </c>
      <c r="I37" s="17" t="s">
        <v>40</v>
      </c>
      <c r="J37" s="17" t="s">
        <v>68</v>
      </c>
      <c r="K37" s="17" t="s">
        <v>175</v>
      </c>
      <c r="L37" s="36" t="s">
        <v>147</v>
      </c>
      <c r="M37" s="103"/>
      <c r="N37" s="37" t="s">
        <v>176</v>
      </c>
      <c r="O37" s="36" t="str">
        <f>VLOOKUP(L37,CECOs!A:B,2,0)</f>
        <v>SAS PRR</v>
      </c>
      <c r="P37" s="17" t="str">
        <f>VLOOKUP(B:B,CECOs!G:I,3,FALSE)</f>
        <v>SupervisoresSAS/OT</v>
      </c>
      <c r="Q37" s="17" t="str">
        <f>IF(_xlfn.XLOOKUP(L37,CECOs!A:A,CECOs!C:C,"")="",K37,_xlfn.XLOOKUP(L37,CECOs!A:A,CECOs!C:C,""))</f>
        <v>Carreño Venegas Cecilia</v>
      </c>
      <c r="R37" s="17" t="s">
        <v>38</v>
      </c>
      <c r="S37" s="17" t="s">
        <v>45</v>
      </c>
      <c r="T37" s="17" t="s">
        <v>177</v>
      </c>
      <c r="U37" s="17" t="s">
        <v>178</v>
      </c>
      <c r="V37" s="17" t="s">
        <v>48</v>
      </c>
      <c r="W37" s="17"/>
      <c r="X37" s="17"/>
      <c r="Y37" s="17"/>
      <c r="Z37" s="17"/>
      <c r="AA37" s="17"/>
      <c r="AB37" s="17" t="s">
        <v>49</v>
      </c>
      <c r="AC37" s="17"/>
      <c r="AD37" s="17" t="s">
        <v>50</v>
      </c>
      <c r="AE37" s="17"/>
      <c r="AF37" s="17"/>
      <c r="AG37" s="17"/>
      <c r="AH37" s="17"/>
      <c r="AI37" s="17"/>
      <c r="AJ37" s="17"/>
      <c r="AK37" s="29"/>
    </row>
    <row r="38" spans="1:37" s="27" customFormat="1" ht="9.9499999999999993">
      <c r="A38" s="29">
        <v>46266</v>
      </c>
      <c r="B38" s="22">
        <v>3414072</v>
      </c>
      <c r="C38" s="17" t="s">
        <v>179</v>
      </c>
      <c r="D38" s="17" t="s">
        <v>38</v>
      </c>
      <c r="E38" s="17" t="s">
        <v>38</v>
      </c>
      <c r="F38" s="17"/>
      <c r="G38" s="17" t="str">
        <f>Table1[[#This Row],[DESCRIPCION_POSICION]]</f>
        <v>Environmental Sr. Supervisor</v>
      </c>
      <c r="H38" s="22" t="s">
        <v>180</v>
      </c>
      <c r="I38" s="17" t="s">
        <v>40</v>
      </c>
      <c r="J38" s="17" t="s">
        <v>68</v>
      </c>
      <c r="K38" s="17" t="s">
        <v>175</v>
      </c>
      <c r="L38" s="36" t="s">
        <v>147</v>
      </c>
      <c r="M38" s="103"/>
      <c r="N38" s="37" t="s">
        <v>181</v>
      </c>
      <c r="O38" s="36" t="str">
        <f>VLOOKUP(L38,CECOs!A:B,2,0)</f>
        <v>SAS PRR</v>
      </c>
      <c r="P38" s="17" t="str">
        <f>VLOOKUP(B:B,CECOs!G:I,3,FALSE)</f>
        <v>SupervisoresSAS/OT</v>
      </c>
      <c r="Q38" s="17" t="str">
        <f>IF(_xlfn.XLOOKUP(L38,CECOs!A:A,CECOs!C:C,"")="",K38,_xlfn.XLOOKUP(L38,CECOs!A:A,CECOs!C:C,""))</f>
        <v>Carreño Venegas Cecilia</v>
      </c>
      <c r="R38" s="17" t="s">
        <v>38</v>
      </c>
      <c r="S38" s="17" t="s">
        <v>45</v>
      </c>
      <c r="T38" s="17"/>
      <c r="U38" s="17" t="s">
        <v>178</v>
      </c>
      <c r="V38" s="17" t="s">
        <v>48</v>
      </c>
      <c r="W38" s="17"/>
      <c r="X38" s="17"/>
      <c r="Y38" s="17"/>
      <c r="Z38" s="17"/>
      <c r="AA38" s="17"/>
      <c r="AB38" s="17" t="s">
        <v>49</v>
      </c>
      <c r="AC38" s="17"/>
      <c r="AD38" s="17" t="s">
        <v>50</v>
      </c>
      <c r="AE38" s="17"/>
      <c r="AF38" s="17"/>
      <c r="AG38" s="17"/>
      <c r="AH38" s="17"/>
      <c r="AI38" s="17"/>
      <c r="AJ38" s="17"/>
      <c r="AK38" s="29"/>
    </row>
    <row r="39" spans="1:37" ht="9.9499999999999993">
      <c r="A39" s="29">
        <v>46266</v>
      </c>
      <c r="B39" s="22">
        <v>3392824</v>
      </c>
      <c r="C39" s="17" t="s">
        <v>182</v>
      </c>
      <c r="D39" s="17" t="s">
        <v>38</v>
      </c>
      <c r="E39" s="17" t="s">
        <v>38</v>
      </c>
      <c r="F39" s="17"/>
      <c r="G39" s="17" t="str">
        <f>Table1[[#This Row],[DESCRIPCION_POSICION]]</f>
        <v>Health Auxiliar</v>
      </c>
      <c r="H39" s="17" t="s">
        <v>183</v>
      </c>
      <c r="I39" s="17" t="s">
        <v>40</v>
      </c>
      <c r="J39" s="17" t="s">
        <v>68</v>
      </c>
      <c r="K39" s="17" t="s">
        <v>169</v>
      </c>
      <c r="L39" s="36" t="s">
        <v>147</v>
      </c>
      <c r="M39" s="103"/>
      <c r="N39" s="38" t="s">
        <v>184</v>
      </c>
      <c r="O39" s="36" t="str">
        <f>VLOOKUP(L39,CECOs!A:B,2,0)</f>
        <v>SAS PRR</v>
      </c>
      <c r="P39" s="17" t="str">
        <f>VLOOKUP(B:B,CECOs!G:I,3,FALSE)</f>
        <v>Personalnooperativo</v>
      </c>
      <c r="Q39" s="17" t="str">
        <f>IF(_xlfn.XLOOKUP(L39,CECOs!A:A,CECOs!C:C,"")="",K39,_xlfn.XLOOKUP(L39,CECOs!A:A,CECOs!C:C,""))</f>
        <v>Martel Maximiliano Jose Tomas</v>
      </c>
      <c r="R39" s="17" t="s">
        <v>38</v>
      </c>
      <c r="S39" s="17" t="s">
        <v>45</v>
      </c>
      <c r="T39" s="17" t="s">
        <v>149</v>
      </c>
      <c r="U39" s="17" t="s">
        <v>150</v>
      </c>
      <c r="V39" s="17" t="s">
        <v>48</v>
      </c>
      <c r="W39" s="17"/>
      <c r="X39" s="17"/>
      <c r="Y39" s="17"/>
      <c r="Z39" s="17"/>
      <c r="AA39" s="17"/>
      <c r="AB39" s="17" t="s">
        <v>49</v>
      </c>
      <c r="AC39" s="17"/>
      <c r="AD39" s="17" t="s">
        <v>50</v>
      </c>
      <c r="AE39" s="17"/>
      <c r="AF39" s="17"/>
      <c r="AG39" s="17"/>
      <c r="AH39" s="17"/>
      <c r="AI39" s="17"/>
      <c r="AJ39" s="17"/>
      <c r="AK39" s="29"/>
    </row>
    <row r="40" spans="1:37" ht="9.9499999999999993">
      <c r="A40" s="29">
        <v>46266</v>
      </c>
      <c r="B40" s="22">
        <v>3392825</v>
      </c>
      <c r="C40" s="17" t="s">
        <v>185</v>
      </c>
      <c r="D40" s="17" t="s">
        <v>38</v>
      </c>
      <c r="E40" s="17" t="s">
        <v>38</v>
      </c>
      <c r="F40" s="17"/>
      <c r="G40" s="17" t="str">
        <f>Table1[[#This Row],[DESCRIPCION_POSICION]]</f>
        <v>Operations Technology Maint. Engineer</v>
      </c>
      <c r="H40" s="22" t="s">
        <v>186</v>
      </c>
      <c r="I40" s="17" t="s">
        <v>40</v>
      </c>
      <c r="J40" s="17" t="s">
        <v>68</v>
      </c>
      <c r="K40" s="17" t="s">
        <v>187</v>
      </c>
      <c r="L40" s="36" t="s">
        <v>188</v>
      </c>
      <c r="M40" s="103"/>
      <c r="N40" s="37" t="s">
        <v>189</v>
      </c>
      <c r="O40" s="36" t="str">
        <f>VLOOKUP(L40,CECOs!A:B,2,0)</f>
        <v>OT PRR</v>
      </c>
      <c r="P40" s="17" t="str">
        <f>VLOOKUP(B:B,CECOs!G:I,3,FALSE)</f>
        <v>SupervisoresSAS/OT</v>
      </c>
      <c r="Q40" s="17" t="str">
        <f>IF(_xlfn.XLOOKUP(L40,CECOs!A:A,CECOs!C:C,"")="",K40,_xlfn.XLOOKUP(L40,CECOs!A:A,CECOs!C:C,""))</f>
        <v>Contreras Fernando Andres</v>
      </c>
      <c r="R40" s="17" t="s">
        <v>38</v>
      </c>
      <c r="S40" s="17" t="s">
        <v>45</v>
      </c>
      <c r="T40" s="17" t="s">
        <v>190</v>
      </c>
      <c r="U40" s="17" t="s">
        <v>94</v>
      </c>
      <c r="V40" s="17" t="s">
        <v>48</v>
      </c>
      <c r="W40" s="17"/>
      <c r="X40" s="17"/>
      <c r="Y40" s="17"/>
      <c r="Z40" s="17"/>
      <c r="AA40" s="17"/>
      <c r="AB40" s="17" t="s">
        <v>49</v>
      </c>
      <c r="AC40" s="17"/>
      <c r="AD40" s="17" t="s">
        <v>50</v>
      </c>
      <c r="AE40" s="17"/>
      <c r="AF40" s="17"/>
      <c r="AG40" s="17"/>
      <c r="AH40" s="17"/>
      <c r="AI40" s="17"/>
      <c r="AJ40" s="17"/>
      <c r="AK40" s="29"/>
    </row>
    <row r="41" spans="1:37" ht="9.9499999999999993">
      <c r="A41" s="29">
        <v>46266</v>
      </c>
      <c r="B41" s="22">
        <v>3392826</v>
      </c>
      <c r="C41" s="17" t="s">
        <v>185</v>
      </c>
      <c r="D41" s="17" t="s">
        <v>38</v>
      </c>
      <c r="E41" s="17" t="s">
        <v>38</v>
      </c>
      <c r="F41" s="17"/>
      <c r="G41" s="17" t="str">
        <f>Table1[[#This Row],[DESCRIPCION_POSICION]]</f>
        <v>Operations Technology Maint. Engineer</v>
      </c>
      <c r="H41" s="17" t="s">
        <v>191</v>
      </c>
      <c r="I41" s="17" t="s">
        <v>40</v>
      </c>
      <c r="J41" s="17" t="s">
        <v>68</v>
      </c>
      <c r="K41" s="17" t="s">
        <v>187</v>
      </c>
      <c r="L41" s="36" t="s">
        <v>188</v>
      </c>
      <c r="M41" s="103"/>
      <c r="N41" s="37" t="s">
        <v>192</v>
      </c>
      <c r="O41" s="36" t="str">
        <f>VLOOKUP(L41,CECOs!A:B,2,0)</f>
        <v>OT PRR</v>
      </c>
      <c r="P41" s="17" t="str">
        <f>VLOOKUP(B:B,CECOs!G:I,3,FALSE)</f>
        <v>SupervisoresSAS/OT</v>
      </c>
      <c r="Q41" s="17" t="str">
        <f>IF(_xlfn.XLOOKUP(L41,CECOs!A:A,CECOs!C:C,"")="",K41,_xlfn.XLOOKUP(L41,CECOs!A:A,CECOs!C:C,""))</f>
        <v>Contreras Fernando Andres</v>
      </c>
      <c r="R41" s="17" t="s">
        <v>38</v>
      </c>
      <c r="S41" s="17" t="s">
        <v>45</v>
      </c>
      <c r="T41" s="17" t="s">
        <v>190</v>
      </c>
      <c r="U41" s="17" t="s">
        <v>94</v>
      </c>
      <c r="V41" s="17" t="s">
        <v>48</v>
      </c>
      <c r="W41" s="17"/>
      <c r="X41" s="17"/>
      <c r="Y41" s="17"/>
      <c r="Z41" s="17"/>
      <c r="AA41" s="17"/>
      <c r="AB41" s="17" t="s">
        <v>49</v>
      </c>
      <c r="AC41" s="17"/>
      <c r="AD41" s="17" t="s">
        <v>50</v>
      </c>
      <c r="AE41" s="17"/>
      <c r="AF41" s="17"/>
      <c r="AG41" s="17"/>
      <c r="AH41" s="17"/>
      <c r="AI41" s="17"/>
      <c r="AJ41" s="17"/>
      <c r="AK41" s="29"/>
    </row>
    <row r="42" spans="1:37" ht="9.9499999999999993">
      <c r="A42" s="29">
        <v>46266</v>
      </c>
      <c r="B42" s="22">
        <v>3392827</v>
      </c>
      <c r="C42" s="17" t="s">
        <v>185</v>
      </c>
      <c r="D42" s="17" t="s">
        <v>38</v>
      </c>
      <c r="E42" s="17" t="s">
        <v>38</v>
      </c>
      <c r="F42" s="17"/>
      <c r="G42" s="17" t="str">
        <f>Table1[[#This Row],[DESCRIPCION_POSICION]]</f>
        <v>Operations Technology Maint. Engineer</v>
      </c>
      <c r="H42" s="22" t="s">
        <v>193</v>
      </c>
      <c r="I42" s="17" t="s">
        <v>40</v>
      </c>
      <c r="J42" s="17" t="s">
        <v>68</v>
      </c>
      <c r="K42" s="17" t="s">
        <v>187</v>
      </c>
      <c r="L42" s="36" t="s">
        <v>188</v>
      </c>
      <c r="M42" s="103"/>
      <c r="N42" s="37" t="s">
        <v>194</v>
      </c>
      <c r="O42" s="36" t="str">
        <f>VLOOKUP(L42,CECOs!A:B,2,0)</f>
        <v>OT PRR</v>
      </c>
      <c r="P42" s="17" t="str">
        <f>VLOOKUP(B:B,CECOs!G:I,3,FALSE)</f>
        <v>SupervisoresSAS/OT</v>
      </c>
      <c r="Q42" s="17" t="str">
        <f>IF(_xlfn.XLOOKUP(L42,CECOs!A:A,CECOs!C:C,"")="",K42,_xlfn.XLOOKUP(L42,CECOs!A:A,CECOs!C:C,""))</f>
        <v>Contreras Fernando Andres</v>
      </c>
      <c r="R42" s="17" t="s">
        <v>38</v>
      </c>
      <c r="S42" s="17" t="s">
        <v>45</v>
      </c>
      <c r="T42" s="17" t="s">
        <v>190</v>
      </c>
      <c r="U42" s="17" t="s">
        <v>94</v>
      </c>
      <c r="V42" s="17" t="s">
        <v>48</v>
      </c>
      <c r="W42" s="17"/>
      <c r="X42" s="17"/>
      <c r="Y42" s="17"/>
      <c r="Z42" s="17"/>
      <c r="AA42" s="17"/>
      <c r="AB42" s="17" t="s">
        <v>49</v>
      </c>
      <c r="AC42" s="17"/>
      <c r="AD42" s="17" t="s">
        <v>50</v>
      </c>
      <c r="AE42" s="17"/>
      <c r="AF42" s="17"/>
      <c r="AG42" s="17"/>
      <c r="AH42" s="17"/>
      <c r="AI42" s="17"/>
      <c r="AJ42" s="17"/>
      <c r="AK42" s="29"/>
    </row>
    <row r="43" spans="1:37" ht="9.9499999999999993">
      <c r="A43" s="29">
        <v>46266</v>
      </c>
      <c r="B43" s="22">
        <v>3392828</v>
      </c>
      <c r="C43" s="17" t="s">
        <v>185</v>
      </c>
      <c r="D43" s="17" t="s">
        <v>38</v>
      </c>
      <c r="E43" s="17" t="s">
        <v>38</v>
      </c>
      <c r="F43" s="17"/>
      <c r="G43" s="17" t="str">
        <f>Table1[[#This Row],[DESCRIPCION_POSICION]]</f>
        <v>Operations Technology Maint. Engineer</v>
      </c>
      <c r="H43" s="17" t="s">
        <v>195</v>
      </c>
      <c r="I43" s="17" t="s">
        <v>40</v>
      </c>
      <c r="J43" s="17" t="s">
        <v>68</v>
      </c>
      <c r="K43" s="17" t="s">
        <v>187</v>
      </c>
      <c r="L43" s="36" t="s">
        <v>188</v>
      </c>
      <c r="M43" s="103"/>
      <c r="N43" s="38" t="s">
        <v>196</v>
      </c>
      <c r="O43" s="36" t="str">
        <f>VLOOKUP(L43,CECOs!A:B,2,0)</f>
        <v>OT PRR</v>
      </c>
      <c r="P43" s="17" t="str">
        <f>VLOOKUP(B:B,CECOs!G:I,3,FALSE)</f>
        <v>SupervisoresSAS/OT</v>
      </c>
      <c r="Q43" s="17" t="str">
        <f>IF(_xlfn.XLOOKUP(L43,CECOs!A:A,CECOs!C:C,"")="",K43,_xlfn.XLOOKUP(L43,CECOs!A:A,CECOs!C:C,""))</f>
        <v>Contreras Fernando Andres</v>
      </c>
      <c r="R43" s="17" t="s">
        <v>38</v>
      </c>
      <c r="S43" s="17" t="s">
        <v>45</v>
      </c>
      <c r="T43" s="17" t="s">
        <v>190</v>
      </c>
      <c r="U43" s="17" t="s">
        <v>94</v>
      </c>
      <c r="V43" s="17" t="s">
        <v>48</v>
      </c>
      <c r="W43" s="17"/>
      <c r="X43" s="17"/>
      <c r="Y43" s="17"/>
      <c r="Z43" s="17"/>
      <c r="AA43" s="17"/>
      <c r="AB43" s="17" t="s">
        <v>49</v>
      </c>
      <c r="AC43" s="17"/>
      <c r="AD43" s="17" t="s">
        <v>50</v>
      </c>
      <c r="AE43" s="17"/>
      <c r="AF43" s="17"/>
      <c r="AG43" s="17"/>
      <c r="AH43" s="17"/>
      <c r="AI43" s="17"/>
      <c r="AJ43" s="17"/>
      <c r="AK43" s="29"/>
    </row>
    <row r="44" spans="1:37" ht="9.9499999999999993">
      <c r="A44" s="29">
        <v>46266</v>
      </c>
      <c r="B44" s="22">
        <v>3392829</v>
      </c>
      <c r="C44" s="17" t="s">
        <v>185</v>
      </c>
      <c r="D44" s="17" t="s">
        <v>38</v>
      </c>
      <c r="E44" s="17" t="s">
        <v>38</v>
      </c>
      <c r="F44" s="17"/>
      <c r="G44" s="17" t="str">
        <f>Table1[[#This Row],[DESCRIPCION_POSICION]]</f>
        <v>Operations Technology Maint. Engineer</v>
      </c>
      <c r="H44" s="17" t="s">
        <v>197</v>
      </c>
      <c r="I44" s="17" t="s">
        <v>40</v>
      </c>
      <c r="J44" s="17" t="s">
        <v>68</v>
      </c>
      <c r="K44" s="17" t="s">
        <v>187</v>
      </c>
      <c r="L44" s="36" t="s">
        <v>188</v>
      </c>
      <c r="M44" s="103"/>
      <c r="N44" s="38" t="s">
        <v>198</v>
      </c>
      <c r="O44" s="36" t="str">
        <f>VLOOKUP(L44,CECOs!A:B,2,0)</f>
        <v>OT PRR</v>
      </c>
      <c r="P44" s="17" t="str">
        <f>VLOOKUP(B:B,CECOs!G:I,3,FALSE)</f>
        <v>SupervisoresSAS/OT</v>
      </c>
      <c r="Q44" s="17" t="str">
        <f>IF(_xlfn.XLOOKUP(L44,CECOs!A:A,CECOs!C:C,"")="",K44,_xlfn.XLOOKUP(L44,CECOs!A:A,CECOs!C:C,""))</f>
        <v>Contreras Fernando Andres</v>
      </c>
      <c r="R44" s="17" t="s">
        <v>38</v>
      </c>
      <c r="S44" s="17" t="s">
        <v>45</v>
      </c>
      <c r="T44" s="17" t="s">
        <v>190</v>
      </c>
      <c r="U44" s="17" t="s">
        <v>94</v>
      </c>
      <c r="V44" s="17" t="s">
        <v>48</v>
      </c>
      <c r="W44" s="17"/>
      <c r="X44" s="17"/>
      <c r="Y44" s="17"/>
      <c r="Z44" s="17"/>
      <c r="AA44" s="17"/>
      <c r="AB44" s="17" t="s">
        <v>49</v>
      </c>
      <c r="AC44" s="17"/>
      <c r="AD44" s="17" t="s">
        <v>50</v>
      </c>
      <c r="AE44" s="17"/>
      <c r="AF44" s="17"/>
      <c r="AG44" s="17"/>
      <c r="AH44" s="17"/>
      <c r="AI44" s="17"/>
      <c r="AJ44" s="17"/>
      <c r="AK44" s="29"/>
    </row>
    <row r="45" spans="1:37" ht="9.9499999999999993">
      <c r="A45" s="29">
        <v>46266</v>
      </c>
      <c r="B45" s="22">
        <v>3392830</v>
      </c>
      <c r="C45" s="17" t="s">
        <v>185</v>
      </c>
      <c r="D45" s="17" t="s">
        <v>38</v>
      </c>
      <c r="E45" s="17" t="s">
        <v>38</v>
      </c>
      <c r="F45" s="17"/>
      <c r="G45" s="17" t="str">
        <f>Table1[[#This Row],[DESCRIPCION_POSICION]]</f>
        <v>Operations Technology Maint. Engineer</v>
      </c>
      <c r="H45" s="17" t="s">
        <v>199</v>
      </c>
      <c r="I45" s="17" t="s">
        <v>40</v>
      </c>
      <c r="J45" s="17" t="s">
        <v>68</v>
      </c>
      <c r="K45" s="17" t="s">
        <v>187</v>
      </c>
      <c r="L45" s="36" t="s">
        <v>188</v>
      </c>
      <c r="M45" s="103"/>
      <c r="N45" s="38" t="s">
        <v>200</v>
      </c>
      <c r="O45" s="36" t="str">
        <f>VLOOKUP(L45,CECOs!A:B,2,0)</f>
        <v>OT PRR</v>
      </c>
      <c r="P45" s="17" t="str">
        <f>VLOOKUP(B:B,CECOs!G:I,3,FALSE)</f>
        <v>SupervisoresSAS/OT</v>
      </c>
      <c r="Q45" s="17" t="str">
        <f>IF(_xlfn.XLOOKUP(L45,CECOs!A:A,CECOs!C:C,"")="",K45,_xlfn.XLOOKUP(L45,CECOs!A:A,CECOs!C:C,""))</f>
        <v>Contreras Fernando Andres</v>
      </c>
      <c r="R45" s="17" t="s">
        <v>38</v>
      </c>
      <c r="S45" s="17" t="s">
        <v>45</v>
      </c>
      <c r="T45" s="17" t="s">
        <v>190</v>
      </c>
      <c r="U45" s="17" t="s">
        <v>94</v>
      </c>
      <c r="V45" s="17" t="s">
        <v>48</v>
      </c>
      <c r="W45" s="17"/>
      <c r="X45" s="17"/>
      <c r="Y45" s="17"/>
      <c r="Z45" s="17"/>
      <c r="AA45" s="17"/>
      <c r="AB45" s="17" t="s">
        <v>49</v>
      </c>
      <c r="AC45" s="17"/>
      <c r="AD45" s="17" t="s">
        <v>50</v>
      </c>
      <c r="AE45" s="17"/>
      <c r="AF45" s="17"/>
      <c r="AG45" s="17"/>
      <c r="AH45" s="17"/>
      <c r="AI45" s="17"/>
      <c r="AJ45" s="17"/>
      <c r="AK45" s="29"/>
    </row>
    <row r="46" spans="1:37" ht="9.9499999999999993">
      <c r="A46" s="29">
        <v>46266</v>
      </c>
      <c r="B46" s="22">
        <v>3392831</v>
      </c>
      <c r="C46" s="17" t="s">
        <v>185</v>
      </c>
      <c r="D46" s="17" t="s">
        <v>38</v>
      </c>
      <c r="E46" s="17" t="s">
        <v>38</v>
      </c>
      <c r="F46" s="17"/>
      <c r="G46" s="17" t="str">
        <f>Table1[[#This Row],[DESCRIPCION_POSICION]]</f>
        <v>Operations Technology Maint. Engineer</v>
      </c>
      <c r="H46" s="22" t="s">
        <v>201</v>
      </c>
      <c r="I46" s="17" t="s">
        <v>40</v>
      </c>
      <c r="J46" s="17" t="s">
        <v>68</v>
      </c>
      <c r="K46" s="17" t="s">
        <v>187</v>
      </c>
      <c r="L46" s="36" t="s">
        <v>188</v>
      </c>
      <c r="M46" s="103"/>
      <c r="N46" s="37" t="s">
        <v>202</v>
      </c>
      <c r="O46" s="36" t="str">
        <f>VLOOKUP(L46,CECOs!A:B,2,0)</f>
        <v>OT PRR</v>
      </c>
      <c r="P46" s="17" t="str">
        <f>VLOOKUP(B:B,CECOs!G:I,3,FALSE)</f>
        <v>SupervisoresSAS/OT</v>
      </c>
      <c r="Q46" s="17" t="str">
        <f>IF(_xlfn.XLOOKUP(L46,CECOs!A:A,CECOs!C:C,"")="",K46,_xlfn.XLOOKUP(L46,CECOs!A:A,CECOs!C:C,""))</f>
        <v>Contreras Fernando Andres</v>
      </c>
      <c r="R46" s="17" t="s">
        <v>38</v>
      </c>
      <c r="S46" s="17" t="s">
        <v>45</v>
      </c>
      <c r="T46" s="17" t="s">
        <v>190</v>
      </c>
      <c r="U46" s="17" t="s">
        <v>94</v>
      </c>
      <c r="V46" s="17" t="s">
        <v>48</v>
      </c>
      <c r="W46" s="17"/>
      <c r="X46" s="17"/>
      <c r="Y46" s="17"/>
      <c r="Z46" s="17"/>
      <c r="AA46" s="17"/>
      <c r="AB46" s="17" t="s">
        <v>49</v>
      </c>
      <c r="AC46" s="17"/>
      <c r="AD46" s="17" t="s">
        <v>50</v>
      </c>
      <c r="AE46" s="17"/>
      <c r="AF46" s="17"/>
      <c r="AG46" s="17"/>
      <c r="AH46" s="17"/>
      <c r="AI46" s="17"/>
      <c r="AJ46" s="17"/>
      <c r="AK46" s="29"/>
    </row>
    <row r="47" spans="1:37" ht="9.9499999999999993">
      <c r="A47" s="29">
        <v>46266</v>
      </c>
      <c r="B47" s="22">
        <v>3418339</v>
      </c>
      <c r="C47" s="17" t="s">
        <v>203</v>
      </c>
      <c r="D47" s="17" t="s">
        <v>38</v>
      </c>
      <c r="E47" s="17" t="s">
        <v>38</v>
      </c>
      <c r="F47" s="17"/>
      <c r="G47" s="17" t="str">
        <f>Table1[[#This Row],[DESCRIPCION_POSICION]]</f>
        <v>Operations Technology Eng. Engineer</v>
      </c>
      <c r="H47" s="17" t="s">
        <v>204</v>
      </c>
      <c r="I47" s="17" t="s">
        <v>40</v>
      </c>
      <c r="J47" s="17" t="s">
        <v>68</v>
      </c>
      <c r="K47" s="17" t="s">
        <v>205</v>
      </c>
      <c r="L47" s="36" t="s">
        <v>188</v>
      </c>
      <c r="M47" s="103"/>
      <c r="N47" s="38" t="s">
        <v>206</v>
      </c>
      <c r="O47" s="36" t="str">
        <f>VLOOKUP(L47,CECOs!A:B,2,0)</f>
        <v>OT PRR</v>
      </c>
      <c r="P47" s="17" t="str">
        <f>VLOOKUP(B:B,CECOs!G:I,3,FALSE)</f>
        <v>SupervisoresSAS/OT</v>
      </c>
      <c r="Q47" s="17" t="str">
        <f>IF(_xlfn.XLOOKUP(L47,CECOs!A:A,CECOs!C:C,"")="",K47,_xlfn.XLOOKUP(L47,CECOs!A:A,CECOs!C:C,""))</f>
        <v>Schmidt Brian Eric</v>
      </c>
      <c r="R47" s="17" t="s">
        <v>38</v>
      </c>
      <c r="S47" s="17" t="s">
        <v>45</v>
      </c>
      <c r="T47" s="17" t="s">
        <v>190</v>
      </c>
      <c r="U47" s="17" t="s">
        <v>94</v>
      </c>
      <c r="V47" s="17" t="s">
        <v>48</v>
      </c>
      <c r="W47" s="17"/>
      <c r="X47" s="17"/>
      <c r="Y47" s="17"/>
      <c r="Z47" s="17"/>
      <c r="AA47" s="17"/>
      <c r="AB47" s="17" t="s">
        <v>49</v>
      </c>
      <c r="AC47" s="17"/>
      <c r="AD47" s="17" t="s">
        <v>50</v>
      </c>
      <c r="AE47" s="17"/>
      <c r="AF47" s="17"/>
      <c r="AG47" s="17"/>
      <c r="AH47" s="17"/>
      <c r="AI47" s="17"/>
      <c r="AJ47" s="17"/>
      <c r="AK47" s="29"/>
    </row>
    <row r="48" spans="1:37" ht="9.9499999999999993">
      <c r="A48" s="29">
        <v>46266</v>
      </c>
      <c r="B48" s="22">
        <v>3418340</v>
      </c>
      <c r="C48" s="17" t="s">
        <v>203</v>
      </c>
      <c r="D48" s="17" t="s">
        <v>38</v>
      </c>
      <c r="E48" s="17" t="s">
        <v>38</v>
      </c>
      <c r="F48" s="17"/>
      <c r="G48" s="17" t="str">
        <f>Table1[[#This Row],[DESCRIPCION_POSICION]]</f>
        <v>Operations Technology Eng. Engineer</v>
      </c>
      <c r="H48" s="22" t="s">
        <v>207</v>
      </c>
      <c r="I48" s="17" t="s">
        <v>40</v>
      </c>
      <c r="J48" s="17" t="s">
        <v>68</v>
      </c>
      <c r="K48" s="17" t="s">
        <v>205</v>
      </c>
      <c r="L48" s="36" t="s">
        <v>188</v>
      </c>
      <c r="M48" s="103"/>
      <c r="N48" s="37" t="s">
        <v>208</v>
      </c>
      <c r="O48" s="36" t="str">
        <f>VLOOKUP(L48,CECOs!A:B,2,0)</f>
        <v>OT PRR</v>
      </c>
      <c r="P48" s="17" t="str">
        <f>VLOOKUP(B:B,CECOs!G:I,3,FALSE)</f>
        <v>SupervisoresSAS/OT</v>
      </c>
      <c r="Q48" s="17" t="str">
        <f>IF(_xlfn.XLOOKUP(L48,CECOs!A:A,CECOs!C:C,"")="",K48,_xlfn.XLOOKUP(L48,CECOs!A:A,CECOs!C:C,""))</f>
        <v>Schmidt Brian Eric</v>
      </c>
      <c r="R48" s="17" t="s">
        <v>38</v>
      </c>
      <c r="S48" s="17" t="s">
        <v>45</v>
      </c>
      <c r="T48" s="17" t="s">
        <v>190</v>
      </c>
      <c r="U48" s="17" t="s">
        <v>94</v>
      </c>
      <c r="V48" s="17" t="s">
        <v>48</v>
      </c>
      <c r="W48" s="17"/>
      <c r="X48" s="17"/>
      <c r="Y48" s="17"/>
      <c r="Z48" s="17"/>
      <c r="AA48" s="17"/>
      <c r="AB48" s="17" t="s">
        <v>49</v>
      </c>
      <c r="AC48" s="17"/>
      <c r="AD48" s="17" t="s">
        <v>50</v>
      </c>
      <c r="AE48" s="17"/>
      <c r="AF48" s="17"/>
      <c r="AG48" s="17"/>
      <c r="AH48" s="17"/>
      <c r="AI48" s="17"/>
      <c r="AJ48" s="17"/>
      <c r="AK48" s="29"/>
    </row>
    <row r="49" spans="1:37" ht="9.9499999999999993">
      <c r="A49" s="29">
        <v>46266</v>
      </c>
      <c r="B49" s="22">
        <v>3392846</v>
      </c>
      <c r="C49" s="17" t="s">
        <v>209</v>
      </c>
      <c r="D49" s="17" t="s">
        <v>38</v>
      </c>
      <c r="E49" s="17" t="s">
        <v>38</v>
      </c>
      <c r="F49" s="17"/>
      <c r="G49" s="17" t="str">
        <f>Table1[[#This Row],[DESCRIPCION_POSICION]]</f>
        <v>Integrity Supervisor</v>
      </c>
      <c r="H49" s="46"/>
      <c r="I49" s="17" t="s">
        <v>40</v>
      </c>
      <c r="J49" s="17" t="s">
        <v>68</v>
      </c>
      <c r="K49" s="17" t="s">
        <v>210</v>
      </c>
      <c r="L49" s="36" t="s">
        <v>211</v>
      </c>
      <c r="M49" s="103"/>
      <c r="N49" s="47" t="s">
        <v>212</v>
      </c>
      <c r="O49" s="36" t="str">
        <f>VLOOKUP(L49,CECOs!A:B,2,0)</f>
        <v>Integridad PRR</v>
      </c>
      <c r="P49" s="17" t="str">
        <f>VLOOKUP(B:B,CECOs!G:I,3,FALSE)</f>
        <v>Supervisoroperativo/Producción</v>
      </c>
      <c r="Q49" s="17" t="str">
        <f>IF(_xlfn.XLOOKUP(L49,CECOs!A:A,CECOs!C:C,"")="",K49,_xlfn.XLOOKUP(L49,CECOs!A:A,CECOs!C:C,""))</f>
        <v>Diaz Luis Alberto</v>
      </c>
      <c r="R49" s="17" t="s">
        <v>38</v>
      </c>
      <c r="S49" s="17" t="s">
        <v>45</v>
      </c>
      <c r="T49" s="17" t="s">
        <v>190</v>
      </c>
      <c r="U49" s="17" t="s">
        <v>94</v>
      </c>
      <c r="V49" s="17" t="s">
        <v>48</v>
      </c>
      <c r="W49" s="17"/>
      <c r="X49" s="17"/>
      <c r="Y49" s="17"/>
      <c r="Z49" s="17"/>
      <c r="AA49" s="17"/>
      <c r="AB49" s="17" t="s">
        <v>49</v>
      </c>
      <c r="AC49" s="17"/>
      <c r="AD49" s="17" t="s">
        <v>50</v>
      </c>
      <c r="AE49" s="17"/>
      <c r="AF49" s="17"/>
      <c r="AG49" s="17"/>
      <c r="AH49" s="17"/>
      <c r="AI49" s="17"/>
      <c r="AJ49" s="17"/>
      <c r="AK49" s="29"/>
    </row>
    <row r="50" spans="1:37" ht="9.9499999999999993">
      <c r="A50" s="29">
        <v>46266</v>
      </c>
      <c r="B50" s="22">
        <v>3392868</v>
      </c>
      <c r="C50" s="17" t="s">
        <v>213</v>
      </c>
      <c r="D50" s="17" t="s">
        <v>38</v>
      </c>
      <c r="E50" s="17" t="s">
        <v>38</v>
      </c>
      <c r="F50" s="17"/>
      <c r="G50" s="17" t="str">
        <f>Table1[[#This Row],[DESCRIPCION_POSICION]]</f>
        <v>Recorredor Especializado</v>
      </c>
      <c r="H50" s="17" t="s">
        <v>214</v>
      </c>
      <c r="I50" s="17" t="s">
        <v>40</v>
      </c>
      <c r="J50" s="17" t="s">
        <v>68</v>
      </c>
      <c r="K50" s="17" t="s">
        <v>84</v>
      </c>
      <c r="L50" s="36" t="s">
        <v>215</v>
      </c>
      <c r="M50" s="103"/>
      <c r="N50" s="37" t="s">
        <v>216</v>
      </c>
      <c r="O50" s="36" t="str">
        <f>VLOOKUP(L50,CECOs!A:B,2,0)</f>
        <v>Oper campo LBAS</v>
      </c>
      <c r="P50" s="17" t="str">
        <f>VLOOKUP(B:B,CECOs!G:I,3,FALSE)</f>
        <v>OperadordeCampo</v>
      </c>
      <c r="Q50" s="17" t="str">
        <f>IF(_xlfn.XLOOKUP(L50,CECOs!A:A,CECOs!C:C,"")="",K50,_xlfn.XLOOKUP(L50,CECOs!A:A,CECOs!C:C,""))</f>
        <v>BECHARA, LUCAS ANTONIO</v>
      </c>
      <c r="R50" s="17" t="s">
        <v>38</v>
      </c>
      <c r="S50" s="17" t="s">
        <v>45</v>
      </c>
      <c r="T50" s="17" t="s">
        <v>61</v>
      </c>
      <c r="U50" s="17" t="s">
        <v>217</v>
      </c>
      <c r="V50" s="17" t="s">
        <v>95</v>
      </c>
      <c r="W50" s="17"/>
      <c r="X50" s="17"/>
      <c r="Y50" s="17"/>
      <c r="Z50" s="17"/>
      <c r="AA50" s="17"/>
      <c r="AB50" s="17" t="s">
        <v>49</v>
      </c>
      <c r="AC50" s="17"/>
      <c r="AD50" s="17" t="s">
        <v>50</v>
      </c>
      <c r="AE50" s="17"/>
      <c r="AF50" s="17"/>
      <c r="AG50" s="17"/>
      <c r="AH50" s="17"/>
      <c r="AI50" s="17"/>
      <c r="AJ50" s="17"/>
      <c r="AK50" s="29"/>
    </row>
    <row r="51" spans="1:37" ht="9.9499999999999993">
      <c r="A51" s="29">
        <v>46266</v>
      </c>
      <c r="B51" s="22">
        <v>3392834</v>
      </c>
      <c r="C51" s="17" t="s">
        <v>218</v>
      </c>
      <c r="D51" s="17" t="s">
        <v>38</v>
      </c>
      <c r="E51" s="17" t="s">
        <v>38</v>
      </c>
      <c r="F51" s="17"/>
      <c r="G51" s="17" t="str">
        <f>Table1[[#This Row],[DESCRIPCION_POSICION]]</f>
        <v>Maintenance Sr. Supervisor</v>
      </c>
      <c r="H51" s="17" t="s">
        <v>219</v>
      </c>
      <c r="I51" s="17" t="s">
        <v>40</v>
      </c>
      <c r="J51" s="17" t="s">
        <v>68</v>
      </c>
      <c r="K51" s="17" t="s">
        <v>220</v>
      </c>
      <c r="L51" s="36" t="s">
        <v>221</v>
      </c>
      <c r="M51" s="103"/>
      <c r="N51" s="38" t="s">
        <v>222</v>
      </c>
      <c r="O51" s="36" t="str">
        <f>VLOOKUP(L51,CECOs!A:B,2,0)</f>
        <v>Supervisores Mtto</v>
      </c>
      <c r="P51" s="17" t="str">
        <f>VLOOKUP(B:B,CECOs!G:I,3,FALSE)</f>
        <v>Supervisoroperativo/Producción</v>
      </c>
      <c r="Q51" s="17" t="str">
        <f>IF(_xlfn.XLOOKUP(L51,CECOs!A:A,CECOs!C:C,"")="",K51,_xlfn.XLOOKUP(L51,CECOs!A:A,CECOs!C:C,""))</f>
        <v>Sheffield Naiara Eileen</v>
      </c>
      <c r="R51" s="17" t="s">
        <v>38</v>
      </c>
      <c r="S51" s="17" t="s">
        <v>45</v>
      </c>
      <c r="T51" s="17" t="s">
        <v>190</v>
      </c>
      <c r="U51" s="17" t="s">
        <v>94</v>
      </c>
      <c r="V51" s="17" t="s">
        <v>48</v>
      </c>
      <c r="W51" s="17"/>
      <c r="X51" s="17"/>
      <c r="Y51" s="17"/>
      <c r="Z51" s="17"/>
      <c r="AA51" s="17"/>
      <c r="AB51" s="17" t="s">
        <v>49</v>
      </c>
      <c r="AC51" s="17"/>
      <c r="AD51" s="17" t="s">
        <v>50</v>
      </c>
      <c r="AE51" s="17"/>
      <c r="AF51" s="17"/>
      <c r="AG51" s="17"/>
      <c r="AH51" s="17"/>
      <c r="AI51" s="17"/>
      <c r="AJ51" s="17"/>
      <c r="AK51" s="29"/>
    </row>
    <row r="52" spans="1:37" ht="9.9499999999999993">
      <c r="A52" s="29">
        <v>46266</v>
      </c>
      <c r="B52" s="22">
        <v>3392835</v>
      </c>
      <c r="C52" s="17" t="s">
        <v>218</v>
      </c>
      <c r="D52" s="17" t="s">
        <v>38</v>
      </c>
      <c r="E52" s="17" t="s">
        <v>38</v>
      </c>
      <c r="G52" s="17" t="str">
        <f>Table1[[#This Row],[DESCRIPCION_POSICION]]</f>
        <v>Maintenance Sr. Supervisor</v>
      </c>
      <c r="H52" s="53" t="s">
        <v>223</v>
      </c>
      <c r="I52" s="22" t="s">
        <v>40</v>
      </c>
      <c r="J52" s="22" t="s">
        <v>68</v>
      </c>
      <c r="K52" s="22" t="s">
        <v>220</v>
      </c>
      <c r="L52" s="86" t="s">
        <v>221</v>
      </c>
      <c r="M52" s="105"/>
      <c r="N52" s="26" t="s">
        <v>224</v>
      </c>
      <c r="O52" s="36" t="str">
        <f>VLOOKUP(L52,CECOs!A:B,2,0)</f>
        <v>Supervisores Mtto</v>
      </c>
      <c r="P52" s="17" t="str">
        <f>VLOOKUP(B:B,CECOs!G:I,3,FALSE)</f>
        <v>Supervisoroperativo/Producción</v>
      </c>
      <c r="Q52" s="17" t="str">
        <f>IF(_xlfn.XLOOKUP(L52,CECOs!A:A,CECOs!C:C,"")="",K52,_xlfn.XLOOKUP(L52,CECOs!A:A,CECOs!C:C,""))</f>
        <v>Sheffield Naiara Eileen</v>
      </c>
      <c r="R52" s="17" t="s">
        <v>38</v>
      </c>
      <c r="S52" s="17" t="s">
        <v>45</v>
      </c>
      <c r="T52" s="17" t="s">
        <v>190</v>
      </c>
      <c r="U52" s="17" t="s">
        <v>94</v>
      </c>
      <c r="V52" s="17" t="s">
        <v>48</v>
      </c>
      <c r="W52" s="17"/>
      <c r="X52" s="17"/>
      <c r="Y52" s="17"/>
      <c r="Z52" s="17"/>
      <c r="AA52" s="17"/>
      <c r="AB52" s="17" t="s">
        <v>49</v>
      </c>
      <c r="AC52" s="17"/>
      <c r="AD52" s="17" t="s">
        <v>50</v>
      </c>
      <c r="AE52" s="17"/>
      <c r="AF52" s="17"/>
      <c r="AG52" s="17"/>
      <c r="AH52" s="17"/>
      <c r="AI52" s="17"/>
      <c r="AJ52" s="17"/>
      <c r="AK52" s="29"/>
    </row>
    <row r="53" spans="1:37" ht="9.9499999999999993">
      <c r="A53" s="29">
        <v>46266</v>
      </c>
      <c r="B53" s="22">
        <v>3401242</v>
      </c>
      <c r="C53" s="17" t="s">
        <v>218</v>
      </c>
      <c r="D53" s="17" t="s">
        <v>38</v>
      </c>
      <c r="E53" s="17" t="s">
        <v>38</v>
      </c>
      <c r="F53" s="17"/>
      <c r="G53" s="17" t="str">
        <f>Table1[[#This Row],[DESCRIPCION_POSICION]]</f>
        <v>Maintenance Sr. Supervisor</v>
      </c>
      <c r="H53" s="17" t="s">
        <v>225</v>
      </c>
      <c r="I53" s="17" t="s">
        <v>40</v>
      </c>
      <c r="J53" s="17" t="s">
        <v>68</v>
      </c>
      <c r="K53" s="17" t="s">
        <v>226</v>
      </c>
      <c r="L53" s="36" t="s">
        <v>221</v>
      </c>
      <c r="M53" s="103"/>
      <c r="N53" s="38" t="s">
        <v>227</v>
      </c>
      <c r="O53" s="36" t="str">
        <f>VLOOKUP(L53,CECOs!A:B,2,0)</f>
        <v>Supervisores Mtto</v>
      </c>
      <c r="P53" s="17" t="str">
        <f>VLOOKUP(B:B,CECOs!G:I,3,FALSE)</f>
        <v>Supervisoroperativo/Producción</v>
      </c>
      <c r="Q53" s="17" t="str">
        <f>IF(_xlfn.XLOOKUP(L53,CECOs!A:A,CECOs!C:C,"")="",K53,_xlfn.XLOOKUP(L53,CECOs!A:A,CECOs!C:C,""))</f>
        <v>Mazoue Juan Manuel</v>
      </c>
      <c r="R53" s="17" t="s">
        <v>38</v>
      </c>
      <c r="S53" s="17" t="s">
        <v>45</v>
      </c>
      <c r="T53" s="17" t="s">
        <v>190</v>
      </c>
      <c r="U53" s="17" t="s">
        <v>94</v>
      </c>
      <c r="V53" s="17" t="s">
        <v>48</v>
      </c>
      <c r="W53" s="17"/>
      <c r="X53" s="17"/>
      <c r="Y53" s="17"/>
      <c r="Z53" s="17"/>
      <c r="AA53" s="17"/>
      <c r="AB53" s="17" t="s">
        <v>49</v>
      </c>
      <c r="AC53" s="17"/>
      <c r="AD53" s="17" t="s">
        <v>228</v>
      </c>
      <c r="AE53" s="17"/>
      <c r="AF53" s="17"/>
      <c r="AG53" s="17"/>
      <c r="AH53" s="17"/>
      <c r="AI53" s="17"/>
      <c r="AJ53" s="17"/>
      <c r="AK53" s="29"/>
    </row>
    <row r="54" spans="1:37" ht="9.9499999999999993">
      <c r="A54" s="29">
        <v>46266</v>
      </c>
      <c r="B54" s="22">
        <v>3437843</v>
      </c>
      <c r="C54" s="17" t="s">
        <v>203</v>
      </c>
      <c r="D54" s="17" t="s">
        <v>38</v>
      </c>
      <c r="E54" s="17" t="s">
        <v>38</v>
      </c>
      <c r="F54" s="17"/>
      <c r="G54" s="17" t="str">
        <f>Table1[[#This Row],[DESCRIPCION_POSICION]]</f>
        <v>Operations Technology Eng. Engineer</v>
      </c>
      <c r="H54" s="46"/>
      <c r="I54" s="17" t="s">
        <v>40</v>
      </c>
      <c r="J54" s="17" t="s">
        <v>68</v>
      </c>
      <c r="K54" s="17" t="s">
        <v>229</v>
      </c>
      <c r="L54" s="36" t="s">
        <v>188</v>
      </c>
      <c r="M54" s="103"/>
      <c r="N54" s="47" t="s">
        <v>230</v>
      </c>
      <c r="O54" s="36" t="str">
        <f>VLOOKUP(L54,CECOs!A:B,2,0)</f>
        <v>OT PRR</v>
      </c>
      <c r="P54" s="17" t="e">
        <f>VLOOKUP(B:B,CECOs!G:I,3,FALSE)</f>
        <v>#N/A</v>
      </c>
      <c r="Q54" s="17" t="str">
        <f>IF(_xlfn.XLOOKUP(L54,CECOs!A:A,CECOs!C:C,"")="",K54,_xlfn.XLOOKUP(L54,CECOs!A:A,CECOs!C:C,""))</f>
        <v>Forte Federico</v>
      </c>
      <c r="R54" s="17" t="s">
        <v>38</v>
      </c>
      <c r="S54" s="17" t="s">
        <v>45</v>
      </c>
      <c r="T54" s="17"/>
      <c r="U54" s="17" t="s">
        <v>94</v>
      </c>
      <c r="V54" s="17" t="s">
        <v>48</v>
      </c>
      <c r="W54" s="17"/>
      <c r="X54" s="17"/>
      <c r="Y54" s="17"/>
      <c r="Z54" s="17"/>
      <c r="AA54" s="17"/>
      <c r="AB54" s="17" t="s">
        <v>49</v>
      </c>
      <c r="AC54" s="17"/>
      <c r="AD54" s="17" t="s">
        <v>50</v>
      </c>
      <c r="AE54" s="17"/>
      <c r="AF54" s="17"/>
      <c r="AG54" s="17"/>
      <c r="AH54" s="17"/>
      <c r="AI54" s="17"/>
      <c r="AJ54" s="17"/>
      <c r="AK54" s="29"/>
    </row>
    <row r="55" spans="1:37" s="25" customFormat="1" ht="9.9499999999999993">
      <c r="A55" s="29">
        <v>46266</v>
      </c>
      <c r="B55" s="75">
        <v>3392836</v>
      </c>
      <c r="C55" s="75" t="s">
        <v>231</v>
      </c>
      <c r="D55" s="75" t="s">
        <v>38</v>
      </c>
      <c r="E55" s="75" t="s">
        <v>38</v>
      </c>
      <c r="F55" s="75"/>
      <c r="G55" s="75" t="str">
        <f>Table1[[#This Row],[DESCRIPCION_POSICION]]</f>
        <v>Plant Lead Supervisor</v>
      </c>
      <c r="H55" s="75" t="s">
        <v>232</v>
      </c>
      <c r="I55" s="75" t="s">
        <v>40</v>
      </c>
      <c r="J55" s="75" t="s">
        <v>68</v>
      </c>
      <c r="K55" s="75" t="s">
        <v>233</v>
      </c>
      <c r="L55" s="76" t="s">
        <v>234</v>
      </c>
      <c r="M55" s="106"/>
      <c r="N55" s="77" t="s">
        <v>235</v>
      </c>
      <c r="O55" s="76" t="str">
        <f>VLOOKUP(L55,CECOs!A:B,2,0)</f>
        <v>Operadores SALA EPF</v>
      </c>
      <c r="P55" s="75" t="e">
        <f>VLOOKUP(B:B,CECOs!G:I,3,FALSE)</f>
        <v>#N/A</v>
      </c>
      <c r="Q55" s="75" t="str">
        <f>IF(_xlfn.XLOOKUP(L55,CECOs!A:A,CECOs!C:C,"")="",K55,_xlfn.XLOOKUP(L55,CECOs!A:A,CECOs!C:C,""))</f>
        <v>Doria Pablo Cesar</v>
      </c>
      <c r="R55" s="75" t="s">
        <v>38</v>
      </c>
      <c r="S55" s="75" t="s">
        <v>45</v>
      </c>
      <c r="T55" s="75" t="s">
        <v>236</v>
      </c>
      <c r="U55" s="75" t="s">
        <v>217</v>
      </c>
      <c r="V55" s="75" t="s">
        <v>48</v>
      </c>
      <c r="W55" s="75"/>
      <c r="X55" s="75"/>
      <c r="Y55" s="75"/>
      <c r="Z55" s="75"/>
      <c r="AA55" s="75"/>
      <c r="AB55" s="75" t="s">
        <v>49</v>
      </c>
      <c r="AC55" s="75"/>
      <c r="AD55" s="75" t="s">
        <v>50</v>
      </c>
      <c r="AE55" s="75"/>
      <c r="AF55" s="75"/>
      <c r="AG55" s="75"/>
      <c r="AH55" s="75"/>
      <c r="AI55" s="75"/>
      <c r="AJ55" s="75"/>
      <c r="AK55" s="74"/>
    </row>
    <row r="56" spans="1:37" s="25" customFormat="1" ht="9.9499999999999993">
      <c r="A56" s="29">
        <v>46266</v>
      </c>
      <c r="B56" s="75">
        <v>3392837</v>
      </c>
      <c r="C56" s="75" t="s">
        <v>231</v>
      </c>
      <c r="D56" s="75" t="s">
        <v>38</v>
      </c>
      <c r="E56" s="75" t="s">
        <v>38</v>
      </c>
      <c r="F56" s="75"/>
      <c r="G56" s="75" t="str">
        <f>Table1[[#This Row],[DESCRIPCION_POSICION]]</f>
        <v>Plant Lead Supervisor</v>
      </c>
      <c r="H56" s="75" t="s">
        <v>237</v>
      </c>
      <c r="I56" s="75" t="s">
        <v>40</v>
      </c>
      <c r="J56" s="75" t="s">
        <v>68</v>
      </c>
      <c r="K56" s="75" t="s">
        <v>233</v>
      </c>
      <c r="L56" s="76" t="s">
        <v>234</v>
      </c>
      <c r="M56" s="106"/>
      <c r="N56" s="77" t="s">
        <v>238</v>
      </c>
      <c r="O56" s="76" t="str">
        <f>VLOOKUP(L56,CECOs!A:B,2,0)</f>
        <v>Operadores SALA EPF</v>
      </c>
      <c r="P56" s="75" t="e">
        <f>VLOOKUP(B:B,CECOs!G:I,3,FALSE)</f>
        <v>#N/A</v>
      </c>
      <c r="Q56" s="75" t="str">
        <f>IF(_xlfn.XLOOKUP(L56,CECOs!A:A,CECOs!C:C,"")="",K56,_xlfn.XLOOKUP(L56,CECOs!A:A,CECOs!C:C,""))</f>
        <v>Doria Pablo Cesar</v>
      </c>
      <c r="R56" s="75" t="s">
        <v>38</v>
      </c>
      <c r="S56" s="75" t="s">
        <v>45</v>
      </c>
      <c r="T56" s="75" t="s">
        <v>236</v>
      </c>
      <c r="U56" s="75" t="s">
        <v>217</v>
      </c>
      <c r="V56" s="75" t="s">
        <v>48</v>
      </c>
      <c r="W56" s="75"/>
      <c r="X56" s="75"/>
      <c r="Y56" s="75"/>
      <c r="Z56" s="75"/>
      <c r="AA56" s="75"/>
      <c r="AB56" s="75" t="s">
        <v>49</v>
      </c>
      <c r="AC56" s="75"/>
      <c r="AD56" s="75" t="s">
        <v>50</v>
      </c>
      <c r="AE56" s="75"/>
      <c r="AF56" s="75"/>
      <c r="AG56" s="75"/>
      <c r="AH56" s="75"/>
      <c r="AI56" s="75"/>
      <c r="AJ56" s="75"/>
      <c r="AK56" s="74"/>
    </row>
    <row r="57" spans="1:37" s="25" customFormat="1" ht="9.9499999999999993">
      <c r="A57" s="29">
        <v>46266</v>
      </c>
      <c r="B57" s="75">
        <v>3392838</v>
      </c>
      <c r="C57" s="75" t="s">
        <v>231</v>
      </c>
      <c r="D57" s="75" t="s">
        <v>38</v>
      </c>
      <c r="E57" s="75" t="s">
        <v>38</v>
      </c>
      <c r="F57" s="75"/>
      <c r="G57" s="75" t="str">
        <f>Table1[[#This Row],[DESCRIPCION_POSICION]]</f>
        <v>Plant Lead Supervisor</v>
      </c>
      <c r="H57" s="75" t="s">
        <v>239</v>
      </c>
      <c r="I57" s="75" t="s">
        <v>40</v>
      </c>
      <c r="J57" s="75" t="s">
        <v>68</v>
      </c>
      <c r="K57" s="75" t="s">
        <v>233</v>
      </c>
      <c r="L57" s="76" t="s">
        <v>234</v>
      </c>
      <c r="M57" s="106"/>
      <c r="N57" s="77" t="s">
        <v>240</v>
      </c>
      <c r="O57" s="76" t="str">
        <f>VLOOKUP(L57,CECOs!A:B,2,0)</f>
        <v>Operadores SALA EPF</v>
      </c>
      <c r="P57" s="75" t="e">
        <f>VLOOKUP(B:B,CECOs!G:I,3,FALSE)</f>
        <v>#N/A</v>
      </c>
      <c r="Q57" s="75" t="str">
        <f>IF(_xlfn.XLOOKUP(L57,CECOs!A:A,CECOs!C:C,"")="",K57,_xlfn.XLOOKUP(L57,CECOs!A:A,CECOs!C:C,""))</f>
        <v>Doria Pablo Cesar</v>
      </c>
      <c r="R57" s="75" t="s">
        <v>38</v>
      </c>
      <c r="S57" s="75" t="s">
        <v>45</v>
      </c>
      <c r="T57" s="75" t="s">
        <v>236</v>
      </c>
      <c r="U57" s="75" t="s">
        <v>217</v>
      </c>
      <c r="V57" s="75" t="s">
        <v>48</v>
      </c>
      <c r="W57" s="75"/>
      <c r="X57" s="75"/>
      <c r="Y57" s="75"/>
      <c r="Z57" s="75"/>
      <c r="AA57" s="75"/>
      <c r="AB57" s="75" t="s">
        <v>49</v>
      </c>
      <c r="AC57" s="75"/>
      <c r="AD57" s="75" t="s">
        <v>50</v>
      </c>
      <c r="AE57" s="75"/>
      <c r="AF57" s="75"/>
      <c r="AG57" s="75"/>
      <c r="AH57" s="75"/>
      <c r="AI57" s="75"/>
      <c r="AJ57" s="75"/>
      <c r="AK57" s="74"/>
    </row>
    <row r="58" spans="1:37" s="25" customFormat="1" ht="9.9499999999999993">
      <c r="A58" s="29">
        <v>46266</v>
      </c>
      <c r="B58" s="75">
        <v>3392839</v>
      </c>
      <c r="C58" s="75" t="s">
        <v>231</v>
      </c>
      <c r="D58" s="75" t="s">
        <v>38</v>
      </c>
      <c r="E58" s="75" t="s">
        <v>38</v>
      </c>
      <c r="F58" s="75"/>
      <c r="G58" s="75" t="str">
        <f>Table1[[#This Row],[DESCRIPCION_POSICION]]</f>
        <v>Plant Lead Supervisor</v>
      </c>
      <c r="H58" s="75" t="s">
        <v>241</v>
      </c>
      <c r="I58" s="75" t="s">
        <v>40</v>
      </c>
      <c r="J58" s="75" t="s">
        <v>68</v>
      </c>
      <c r="K58" s="75" t="s">
        <v>233</v>
      </c>
      <c r="L58" s="76" t="s">
        <v>234</v>
      </c>
      <c r="M58" s="106"/>
      <c r="N58" s="77" t="s">
        <v>242</v>
      </c>
      <c r="O58" s="76" t="str">
        <f>VLOOKUP(L58,CECOs!A:B,2,0)</f>
        <v>Operadores SALA EPF</v>
      </c>
      <c r="P58" s="75" t="e">
        <f>VLOOKUP(B:B,CECOs!G:I,3,FALSE)</f>
        <v>#N/A</v>
      </c>
      <c r="Q58" s="75" t="str">
        <f>IF(_xlfn.XLOOKUP(L58,CECOs!A:A,CECOs!C:C,"")="",K58,_xlfn.XLOOKUP(L58,CECOs!A:A,CECOs!C:C,""))</f>
        <v>Doria Pablo Cesar</v>
      </c>
      <c r="R58" s="75" t="s">
        <v>38</v>
      </c>
      <c r="S58" s="75" t="s">
        <v>45</v>
      </c>
      <c r="T58" s="75" t="s">
        <v>236</v>
      </c>
      <c r="U58" s="75" t="s">
        <v>217</v>
      </c>
      <c r="V58" s="75" t="s">
        <v>48</v>
      </c>
      <c r="W58" s="75"/>
      <c r="X58" s="75"/>
      <c r="Y58" s="75"/>
      <c r="Z58" s="75"/>
      <c r="AA58" s="75"/>
      <c r="AB58" s="75" t="s">
        <v>49</v>
      </c>
      <c r="AC58" s="75"/>
      <c r="AD58" s="75" t="s">
        <v>50</v>
      </c>
      <c r="AE58" s="75"/>
      <c r="AF58" s="75"/>
      <c r="AG58" s="75"/>
      <c r="AH58" s="75"/>
      <c r="AI58" s="75"/>
      <c r="AJ58" s="75"/>
      <c r="AK58" s="74"/>
    </row>
    <row r="59" spans="1:37" s="25" customFormat="1" ht="9.9499999999999993">
      <c r="A59" s="29">
        <v>46266</v>
      </c>
      <c r="B59" s="75">
        <v>3395767</v>
      </c>
      <c r="C59" s="75" t="s">
        <v>243</v>
      </c>
      <c r="D59" s="75" t="s">
        <v>38</v>
      </c>
      <c r="E59" s="75" t="s">
        <v>38</v>
      </c>
      <c r="F59" s="75"/>
      <c r="G59" s="75" t="str">
        <f>Table1[[#This Row],[DESCRIPCION_POSICION]]</f>
        <v>Plant Sr. Supervisor</v>
      </c>
      <c r="H59" s="75" t="s">
        <v>244</v>
      </c>
      <c r="I59" s="75" t="s">
        <v>40</v>
      </c>
      <c r="J59" s="75" t="s">
        <v>68</v>
      </c>
      <c r="K59" s="75" t="s">
        <v>245</v>
      </c>
      <c r="L59" s="76" t="s">
        <v>246</v>
      </c>
      <c r="M59" s="106"/>
      <c r="N59" s="77" t="s">
        <v>247</v>
      </c>
      <c r="O59" s="76" t="str">
        <f>VLOOKUP(L59,CECOs!A:B,2,0)</f>
        <v>Supervisores Producción</v>
      </c>
      <c r="P59" s="75" t="e">
        <f>VLOOKUP(B:B,CECOs!G:I,3,FALSE)</f>
        <v>#N/A</v>
      </c>
      <c r="Q59" s="75" t="str">
        <f>IF(_xlfn.XLOOKUP(L59,CECOs!A:A,CECOs!C:C,"")="",K59,_xlfn.XLOOKUP(L59,CECOs!A:A,CECOs!C:C,""))</f>
        <v>Alcantu Bargna Marcelo Luis</v>
      </c>
      <c r="R59" s="75" t="s">
        <v>38</v>
      </c>
      <c r="S59" s="75" t="s">
        <v>45</v>
      </c>
      <c r="T59" s="75" t="s">
        <v>236</v>
      </c>
      <c r="U59" s="75" t="s">
        <v>217</v>
      </c>
      <c r="V59" s="75" t="s">
        <v>48</v>
      </c>
      <c r="W59" s="75"/>
      <c r="X59" s="75"/>
      <c r="Y59" s="75"/>
      <c r="Z59" s="75"/>
      <c r="AA59" s="75"/>
      <c r="AB59" s="75" t="s">
        <v>49</v>
      </c>
      <c r="AC59" s="75"/>
      <c r="AD59" s="75" t="s">
        <v>50</v>
      </c>
      <c r="AE59" s="75"/>
      <c r="AF59" s="75"/>
      <c r="AG59" s="75"/>
      <c r="AH59" s="75"/>
      <c r="AI59" s="75"/>
      <c r="AJ59" s="75"/>
      <c r="AK59" s="74"/>
    </row>
    <row r="60" spans="1:37" ht="9.9499999999999993">
      <c r="A60" s="29">
        <v>46266</v>
      </c>
      <c r="B60" s="22">
        <v>3395519</v>
      </c>
      <c r="C60" s="17" t="s">
        <v>248</v>
      </c>
      <c r="D60" s="17" t="s">
        <v>38</v>
      </c>
      <c r="E60" s="17" t="s">
        <v>38</v>
      </c>
      <c r="F60" s="17"/>
      <c r="G60" s="17" t="str">
        <f>Table1[[#This Row],[DESCRIPCION_POSICION]]</f>
        <v>Production Supervisor</v>
      </c>
      <c r="H60" s="17" t="s">
        <v>249</v>
      </c>
      <c r="I60" s="17" t="s">
        <v>40</v>
      </c>
      <c r="J60" s="17" t="s">
        <v>68</v>
      </c>
      <c r="K60" s="17" t="s">
        <v>250</v>
      </c>
      <c r="L60" s="36" t="s">
        <v>246</v>
      </c>
      <c r="M60" s="103"/>
      <c r="N60" s="38" t="s">
        <v>251</v>
      </c>
      <c r="O60" s="36" t="str">
        <f>VLOOKUP(L60,CECOs!A:B,2,0)</f>
        <v>Supervisores Producción</v>
      </c>
      <c r="P60" s="17" t="str">
        <f>VLOOKUP(B:B,CECOs!G:I,3,FALSE)</f>
        <v>Supervisoroperativo/Producción</v>
      </c>
      <c r="Q60" s="17" t="str">
        <f>IF(_xlfn.XLOOKUP(L60,CECOs!A:A,CECOs!C:C,"")="",K60,_xlfn.XLOOKUP(L60,CECOs!A:A,CECOs!C:C,""))</f>
        <v>Baissac Roberto Enrique</v>
      </c>
      <c r="R60" s="17" t="s">
        <v>38</v>
      </c>
      <c r="S60" s="17" t="s">
        <v>45</v>
      </c>
      <c r="T60" s="17" t="s">
        <v>252</v>
      </c>
      <c r="U60" s="17" t="s">
        <v>217</v>
      </c>
      <c r="V60" s="17" t="s">
        <v>48</v>
      </c>
      <c r="W60" s="17"/>
      <c r="X60" s="17"/>
      <c r="Y60" s="17"/>
      <c r="Z60" s="17"/>
      <c r="AA60" s="17"/>
      <c r="AB60" s="17" t="s">
        <v>49</v>
      </c>
      <c r="AC60" s="17"/>
      <c r="AD60" s="17" t="s">
        <v>50</v>
      </c>
      <c r="AE60" s="17"/>
      <c r="AF60" s="17"/>
      <c r="AG60" s="17"/>
      <c r="AH60" s="17"/>
      <c r="AI60" s="17"/>
      <c r="AJ60" s="17"/>
      <c r="AK60" s="29"/>
    </row>
    <row r="61" spans="1:37" ht="9.9499999999999993">
      <c r="A61" s="29">
        <v>46266</v>
      </c>
      <c r="B61" s="22">
        <v>3395768</v>
      </c>
      <c r="C61" s="17" t="s">
        <v>248</v>
      </c>
      <c r="D61" s="17" t="s">
        <v>38</v>
      </c>
      <c r="E61" s="17" t="s">
        <v>38</v>
      </c>
      <c r="F61" s="17"/>
      <c r="G61" s="17" t="str">
        <f>Table1[[#This Row],[DESCRIPCION_POSICION]]</f>
        <v>Production Supervisor</v>
      </c>
      <c r="H61" s="17" t="s">
        <v>253</v>
      </c>
      <c r="I61" s="17" t="s">
        <v>40</v>
      </c>
      <c r="J61" s="17" t="s">
        <v>68</v>
      </c>
      <c r="K61" s="17" t="s">
        <v>250</v>
      </c>
      <c r="L61" s="36" t="s">
        <v>246</v>
      </c>
      <c r="M61" s="103"/>
      <c r="N61" s="38" t="s">
        <v>254</v>
      </c>
      <c r="O61" s="36" t="str">
        <f>VLOOKUP(L61,CECOs!A:B,2,0)</f>
        <v>Supervisores Producción</v>
      </c>
      <c r="P61" s="17" t="str">
        <f>VLOOKUP(B:B,CECOs!G:I,3,FALSE)</f>
        <v>Supervisoroperativo/Producción</v>
      </c>
      <c r="Q61" s="17" t="str">
        <f>IF(_xlfn.XLOOKUP(L61,CECOs!A:A,CECOs!C:C,"")="",K61,_xlfn.XLOOKUP(L61,CECOs!A:A,CECOs!C:C,""))</f>
        <v>Baissac Roberto Enrique</v>
      </c>
      <c r="R61" s="17" t="s">
        <v>38</v>
      </c>
      <c r="S61" s="17" t="s">
        <v>45</v>
      </c>
      <c r="T61" s="17" t="s">
        <v>252</v>
      </c>
      <c r="U61" s="17" t="s">
        <v>217</v>
      </c>
      <c r="V61" s="17" t="s">
        <v>48</v>
      </c>
      <c r="W61" s="17"/>
      <c r="X61" s="17"/>
      <c r="Y61" s="17"/>
      <c r="Z61" s="17"/>
      <c r="AA61" s="17"/>
      <c r="AB61" s="17" t="s">
        <v>49</v>
      </c>
      <c r="AC61" s="17"/>
      <c r="AD61" s="17" t="s">
        <v>228</v>
      </c>
      <c r="AE61" s="17"/>
      <c r="AF61" s="17"/>
      <c r="AG61" s="17"/>
      <c r="AH61" s="17"/>
      <c r="AI61" s="17"/>
      <c r="AJ61" s="17"/>
      <c r="AK61" s="29"/>
    </row>
    <row r="62" spans="1:37" ht="9.9499999999999993">
      <c r="A62" s="29">
        <v>46266</v>
      </c>
      <c r="B62" s="22">
        <v>3392840</v>
      </c>
      <c r="C62" s="17" t="s">
        <v>255</v>
      </c>
      <c r="D62" s="17" t="s">
        <v>38</v>
      </c>
      <c r="E62" s="17" t="s">
        <v>38</v>
      </c>
      <c r="F62" s="17"/>
      <c r="G62" s="17" t="str">
        <f>Table1[[#This Row],[DESCRIPCION_POSICION]]</f>
        <v>Integrity Lead Engineer</v>
      </c>
      <c r="H62" s="22" t="s">
        <v>256</v>
      </c>
      <c r="I62" s="17" t="s">
        <v>40</v>
      </c>
      <c r="J62" s="17" t="s">
        <v>68</v>
      </c>
      <c r="K62" s="17" t="s">
        <v>210</v>
      </c>
      <c r="L62" s="36" t="s">
        <v>211</v>
      </c>
      <c r="M62" s="103"/>
      <c r="N62" s="37" t="s">
        <v>257</v>
      </c>
      <c r="O62" s="36" t="str">
        <f>VLOOKUP(L62,CECOs!A:B,2,0)</f>
        <v>Integridad PRR</v>
      </c>
      <c r="P62" s="17" t="str">
        <f>VLOOKUP(B:B,CECOs!G:I,3,FALSE)</f>
        <v>Supervisoroperativo/Producción</v>
      </c>
      <c r="Q62" s="17" t="str">
        <f>IF(_xlfn.XLOOKUP(L62,CECOs!A:A,CECOs!C:C,"")="",K62,_xlfn.XLOOKUP(L62,CECOs!A:A,CECOs!C:C,""))</f>
        <v>Diaz Luis Alberto</v>
      </c>
      <c r="R62" s="17" t="s">
        <v>38</v>
      </c>
      <c r="S62" s="17" t="s">
        <v>45</v>
      </c>
      <c r="T62" s="17" t="s">
        <v>190</v>
      </c>
      <c r="U62" s="17" t="s">
        <v>94</v>
      </c>
      <c r="V62" s="17" t="s">
        <v>48</v>
      </c>
      <c r="W62" s="17"/>
      <c r="X62" s="17"/>
      <c r="Y62" s="17"/>
      <c r="Z62" s="17"/>
      <c r="AA62" s="17"/>
      <c r="AB62" s="17" t="s">
        <v>49</v>
      </c>
      <c r="AC62" s="17"/>
      <c r="AD62" s="17" t="s">
        <v>50</v>
      </c>
      <c r="AE62" s="17"/>
      <c r="AF62" s="17"/>
      <c r="AG62" s="17"/>
      <c r="AH62" s="17"/>
      <c r="AI62" s="17"/>
      <c r="AJ62" s="17"/>
      <c r="AK62" s="29"/>
    </row>
    <row r="63" spans="1:37" ht="9.9499999999999993">
      <c r="A63" s="29">
        <v>46266</v>
      </c>
      <c r="B63" s="22">
        <v>3392841</v>
      </c>
      <c r="C63" s="17" t="s">
        <v>258</v>
      </c>
      <c r="D63" s="17" t="s">
        <v>38</v>
      </c>
      <c r="E63" s="17" t="s">
        <v>38</v>
      </c>
      <c r="F63" s="17"/>
      <c r="G63" s="17" t="str">
        <f>Table1[[#This Row],[DESCRIPCION_POSICION]]</f>
        <v>Maintenance Planning Analyst</v>
      </c>
      <c r="H63" s="17" t="s">
        <v>259</v>
      </c>
      <c r="I63" s="17" t="s">
        <v>40</v>
      </c>
      <c r="J63" s="17" t="s">
        <v>68</v>
      </c>
      <c r="K63" s="17" t="s">
        <v>260</v>
      </c>
      <c r="L63" s="36" t="s">
        <v>261</v>
      </c>
      <c r="M63" s="103"/>
      <c r="N63" s="38" t="s">
        <v>262</v>
      </c>
      <c r="O63" s="36" t="str">
        <f>VLOOKUP(L63,CECOs!A:B,2,0)</f>
        <v>Programador PRR</v>
      </c>
      <c r="P63" s="17" t="str">
        <f>VLOOKUP(B:B,CECOs!G:I,3,FALSE)</f>
        <v>Personalnooperativo</v>
      </c>
      <c r="Q63" s="17" t="str">
        <f>IF(_xlfn.XLOOKUP(L63,CECOs!A:A,CECOs!C:C,"")="",K63,_xlfn.XLOOKUP(L63,CECOs!A:A,CECOs!C:C,""))</f>
        <v>Gulayin Mariana Laura</v>
      </c>
      <c r="R63" s="17" t="s">
        <v>38</v>
      </c>
      <c r="S63" s="17" t="s">
        <v>45</v>
      </c>
      <c r="T63" s="17" t="s">
        <v>190</v>
      </c>
      <c r="U63" s="17" t="s">
        <v>94</v>
      </c>
      <c r="V63" s="17" t="s">
        <v>48</v>
      </c>
      <c r="W63" s="17"/>
      <c r="X63" s="17"/>
      <c r="Y63" s="17"/>
      <c r="Z63" s="17"/>
      <c r="AA63" s="17"/>
      <c r="AB63" s="17" t="s">
        <v>49</v>
      </c>
      <c r="AC63" s="17"/>
      <c r="AD63" s="17" t="s">
        <v>50</v>
      </c>
      <c r="AE63" s="17"/>
      <c r="AF63" s="17"/>
      <c r="AG63" s="17"/>
      <c r="AH63" s="17"/>
      <c r="AI63" s="17"/>
      <c r="AJ63" s="17"/>
      <c r="AK63" s="29"/>
    </row>
    <row r="64" spans="1:37" ht="9.9499999999999993">
      <c r="A64" s="29">
        <v>46266</v>
      </c>
      <c r="B64" s="22">
        <v>3392842</v>
      </c>
      <c r="C64" s="17" t="s">
        <v>258</v>
      </c>
      <c r="D64" s="17" t="s">
        <v>38</v>
      </c>
      <c r="E64" s="17" t="s">
        <v>38</v>
      </c>
      <c r="F64" s="17"/>
      <c r="G64" s="17" t="str">
        <f>Table1[[#This Row],[DESCRIPCION_POSICION]]</f>
        <v>Maintenance Planning Analyst</v>
      </c>
      <c r="H64" s="22" t="s">
        <v>263</v>
      </c>
      <c r="I64" s="17" t="s">
        <v>40</v>
      </c>
      <c r="J64" s="17" t="s">
        <v>68</v>
      </c>
      <c r="K64" s="17" t="s">
        <v>264</v>
      </c>
      <c r="L64" s="36" t="s">
        <v>261</v>
      </c>
      <c r="M64" s="103"/>
      <c r="N64" s="37" t="s">
        <v>265</v>
      </c>
      <c r="O64" s="36" t="str">
        <f>VLOOKUP(L64,CECOs!A:B,2,0)</f>
        <v>Programador PRR</v>
      </c>
      <c r="P64" s="17" t="str">
        <f>VLOOKUP(B:B,CECOs!G:I,3,FALSE)</f>
        <v>Personalnooperativo</v>
      </c>
      <c r="Q64" s="17" t="str">
        <f>IF(_xlfn.XLOOKUP(L64,CECOs!A:A,CECOs!C:C,"")="",K64,_xlfn.XLOOKUP(L64,CECOs!A:A,CECOs!C:C,""))</f>
        <v>Cañaveras Adrian Marcelo</v>
      </c>
      <c r="R64" s="17" t="s">
        <v>38</v>
      </c>
      <c r="S64" s="17" t="s">
        <v>45</v>
      </c>
      <c r="T64" s="17" t="s">
        <v>190</v>
      </c>
      <c r="U64" s="17" t="s">
        <v>94</v>
      </c>
      <c r="V64" s="17" t="s">
        <v>48</v>
      </c>
      <c r="W64" s="17"/>
      <c r="X64" s="17"/>
      <c r="Y64" s="17"/>
      <c r="Z64" s="17"/>
      <c r="AA64" s="17"/>
      <c r="AB64" s="17" t="s">
        <v>49</v>
      </c>
      <c r="AC64" s="17"/>
      <c r="AD64" s="17" t="s">
        <v>50</v>
      </c>
      <c r="AE64" s="17"/>
      <c r="AF64" s="17"/>
      <c r="AG64" s="17"/>
      <c r="AH64" s="17"/>
      <c r="AI64" s="17"/>
      <c r="AJ64" s="17"/>
      <c r="AK64" s="29"/>
    </row>
    <row r="65" spans="1:37" ht="9.9499999999999993">
      <c r="A65" s="29">
        <v>46266</v>
      </c>
      <c r="B65" s="22">
        <v>3437844</v>
      </c>
      <c r="C65" s="17" t="s">
        <v>203</v>
      </c>
      <c r="D65" s="17" t="s">
        <v>38</v>
      </c>
      <c r="E65" s="17" t="s">
        <v>38</v>
      </c>
      <c r="F65" s="17"/>
      <c r="G65" s="17" t="str">
        <f>Table1[[#This Row],[DESCRIPCION_POSICION]]</f>
        <v>Operations Technology Eng. Engineer</v>
      </c>
      <c r="H65" s="46"/>
      <c r="I65" s="17" t="s">
        <v>40</v>
      </c>
      <c r="J65" s="17" t="s">
        <v>68</v>
      </c>
      <c r="K65" s="17" t="s">
        <v>229</v>
      </c>
      <c r="L65" s="36" t="s">
        <v>188</v>
      </c>
      <c r="M65" s="103"/>
      <c r="N65" s="47" t="s">
        <v>230</v>
      </c>
      <c r="O65" s="36" t="str">
        <f>VLOOKUP(L65,CECOs!A:B,2,0)</f>
        <v>OT PRR</v>
      </c>
      <c r="P65" s="17" t="e">
        <f>VLOOKUP(B:B,CECOs!G:I,3,FALSE)</f>
        <v>#N/A</v>
      </c>
      <c r="Q65" s="17" t="str">
        <f>IF(_xlfn.XLOOKUP(L65,CECOs!A:A,CECOs!C:C,"")="",K65,_xlfn.XLOOKUP(L65,CECOs!A:A,CECOs!C:C,""))</f>
        <v>Forte Federico</v>
      </c>
      <c r="R65" s="17" t="s">
        <v>38</v>
      </c>
      <c r="S65" s="17" t="s">
        <v>45</v>
      </c>
      <c r="T65" s="17"/>
      <c r="U65" s="17" t="s">
        <v>94</v>
      </c>
      <c r="V65" s="17" t="s">
        <v>48</v>
      </c>
      <c r="W65" s="17"/>
      <c r="X65" s="17"/>
      <c r="Y65" s="17"/>
      <c r="Z65" s="17"/>
      <c r="AA65" s="17"/>
      <c r="AB65" s="17" t="s">
        <v>49</v>
      </c>
      <c r="AC65" s="17"/>
      <c r="AD65" s="17" t="s">
        <v>50</v>
      </c>
      <c r="AE65" s="17"/>
      <c r="AF65" s="17"/>
      <c r="AG65" s="17"/>
      <c r="AH65" s="17"/>
      <c r="AI65" s="17"/>
      <c r="AJ65" s="17"/>
      <c r="AK65" s="29"/>
    </row>
    <row r="66" spans="1:37" ht="9.9499999999999993">
      <c r="A66" s="29">
        <v>46266</v>
      </c>
      <c r="B66" s="22">
        <v>3408113</v>
      </c>
      <c r="C66" s="17" t="s">
        <v>258</v>
      </c>
      <c r="D66" s="17" t="s">
        <v>38</v>
      </c>
      <c r="E66" s="17" t="s">
        <v>38</v>
      </c>
      <c r="F66" s="17"/>
      <c r="G66" s="17" t="str">
        <f>Table1[[#This Row],[DESCRIPCION_POSICION]]</f>
        <v>Maintenance Planning Analyst</v>
      </c>
      <c r="H66" s="22" t="s">
        <v>266</v>
      </c>
      <c r="I66" s="17" t="s">
        <v>40</v>
      </c>
      <c r="J66" s="17" t="s">
        <v>68</v>
      </c>
      <c r="K66" s="17" t="s">
        <v>264</v>
      </c>
      <c r="L66" s="36" t="s">
        <v>261</v>
      </c>
      <c r="M66" s="103"/>
      <c r="N66" s="37" t="s">
        <v>267</v>
      </c>
      <c r="O66" s="36" t="str">
        <f>VLOOKUP(L66,CECOs!A:B,2,0)</f>
        <v>Programador PRR</v>
      </c>
      <c r="P66" s="17" t="str">
        <f>VLOOKUP(B:B,CECOs!G:I,3,FALSE)</f>
        <v>Supervisoroperativo/Producción</v>
      </c>
      <c r="Q66" s="17" t="str">
        <f>IF(_xlfn.XLOOKUP(L66,CECOs!A:A,CECOs!C:C,"")="",K66,_xlfn.XLOOKUP(L66,CECOs!A:A,CECOs!C:C,""))</f>
        <v>Cañaveras Adrian Marcelo</v>
      </c>
      <c r="R66" s="17" t="s">
        <v>38</v>
      </c>
      <c r="S66" s="17" t="s">
        <v>45</v>
      </c>
      <c r="T66" s="17"/>
      <c r="U66" s="17" t="s">
        <v>94</v>
      </c>
      <c r="V66" s="17" t="s">
        <v>48</v>
      </c>
      <c r="W66" s="17"/>
      <c r="X66" s="17"/>
      <c r="Y66" s="17"/>
      <c r="Z66" s="17"/>
      <c r="AA66" s="17"/>
      <c r="AB66" s="17" t="s">
        <v>49</v>
      </c>
      <c r="AC66" s="17"/>
      <c r="AD66" s="17"/>
      <c r="AE66" s="17"/>
      <c r="AF66" s="17"/>
      <c r="AG66" s="17"/>
      <c r="AH66" s="17"/>
      <c r="AI66" s="17"/>
      <c r="AJ66" s="17"/>
      <c r="AK66" s="29"/>
    </row>
    <row r="67" spans="1:37" ht="9.9499999999999993">
      <c r="A67" s="29">
        <v>46266</v>
      </c>
      <c r="B67" s="22">
        <v>3392844</v>
      </c>
      <c r="C67" s="17" t="s">
        <v>268</v>
      </c>
      <c r="D67" s="17" t="s">
        <v>38</v>
      </c>
      <c r="E67" s="17" t="s">
        <v>38</v>
      </c>
      <c r="F67" s="17"/>
      <c r="G67" s="17" t="str">
        <f>Table1[[#This Row],[DESCRIPCION_POSICION]]</f>
        <v>Integrity Lead Supervisor</v>
      </c>
      <c r="H67" s="17" t="s">
        <v>269</v>
      </c>
      <c r="I67" s="17" t="s">
        <v>40</v>
      </c>
      <c r="J67" s="17" t="s">
        <v>68</v>
      </c>
      <c r="K67" s="17" t="s">
        <v>210</v>
      </c>
      <c r="L67" s="36" t="s">
        <v>211</v>
      </c>
      <c r="M67" s="103"/>
      <c r="N67" s="38" t="s">
        <v>270</v>
      </c>
      <c r="O67" s="36" t="str">
        <f>VLOOKUP(L67,CECOs!A:B,2,0)</f>
        <v>Integridad PRR</v>
      </c>
      <c r="P67" s="17" t="str">
        <f>VLOOKUP(B:B,CECOs!G:I,3,FALSE)</f>
        <v>Supervisoroperativo/Producción</v>
      </c>
      <c r="Q67" s="17" t="str">
        <f>IF(_xlfn.XLOOKUP(L67,CECOs!A:A,CECOs!C:C,"")="",K67,_xlfn.XLOOKUP(L67,CECOs!A:A,CECOs!C:C,""))</f>
        <v>Diaz Luis Alberto</v>
      </c>
      <c r="R67" s="17" t="s">
        <v>38</v>
      </c>
      <c r="S67" s="17" t="s">
        <v>45</v>
      </c>
      <c r="T67" s="17" t="s">
        <v>190</v>
      </c>
      <c r="U67" s="17" t="s">
        <v>94</v>
      </c>
      <c r="V67" s="17" t="s">
        <v>48</v>
      </c>
      <c r="W67" s="17"/>
      <c r="X67" s="17"/>
      <c r="Y67" s="17"/>
      <c r="Z67" s="17"/>
      <c r="AA67" s="17"/>
      <c r="AB67" s="17" t="s">
        <v>49</v>
      </c>
      <c r="AC67" s="17"/>
      <c r="AD67" s="17" t="s">
        <v>50</v>
      </c>
      <c r="AE67" s="17"/>
      <c r="AF67" s="17"/>
      <c r="AG67" s="17"/>
      <c r="AH67" s="17"/>
      <c r="AI67" s="17"/>
      <c r="AJ67" s="17"/>
      <c r="AK67" s="29"/>
    </row>
    <row r="68" spans="1:37" ht="9.9499999999999993">
      <c r="A68" s="29">
        <v>46266</v>
      </c>
      <c r="B68" s="22">
        <v>3392845</v>
      </c>
      <c r="C68" s="17" t="s">
        <v>218</v>
      </c>
      <c r="D68" s="17" t="s">
        <v>38</v>
      </c>
      <c r="E68" s="17" t="s">
        <v>38</v>
      </c>
      <c r="F68" s="17"/>
      <c r="G68" s="17" t="str">
        <f>Table1[[#This Row],[DESCRIPCION_POSICION]]</f>
        <v>Maintenance Sr. Supervisor</v>
      </c>
      <c r="H68" s="22" t="s">
        <v>271</v>
      </c>
      <c r="I68" s="17" t="s">
        <v>40</v>
      </c>
      <c r="J68" s="17" t="s">
        <v>68</v>
      </c>
      <c r="K68" s="17" t="s">
        <v>272</v>
      </c>
      <c r="L68" s="36" t="s">
        <v>221</v>
      </c>
      <c r="M68" s="103"/>
      <c r="N68" s="37" t="s">
        <v>273</v>
      </c>
      <c r="O68" s="36" t="str">
        <f>VLOOKUP(L68,CECOs!A:B,2,0)</f>
        <v>Supervisores Mtto</v>
      </c>
      <c r="P68" s="17" t="str">
        <f>VLOOKUP(B:B,CECOs!G:I,3,FALSE)</f>
        <v>Supervisoroperativo/Producción</v>
      </c>
      <c r="Q68" s="17" t="str">
        <f>IF(_xlfn.XLOOKUP(L68,CECOs!A:A,CECOs!C:C,"")="",K68,_xlfn.XLOOKUP(L68,CECOs!A:A,CECOs!C:C,""))</f>
        <v>Kraemer Nicolás</v>
      </c>
      <c r="R68" s="17" t="s">
        <v>38</v>
      </c>
      <c r="S68" s="17" t="s">
        <v>45</v>
      </c>
      <c r="T68" s="17" t="s">
        <v>190</v>
      </c>
      <c r="U68" s="17" t="s">
        <v>94</v>
      </c>
      <c r="V68" s="17" t="s">
        <v>48</v>
      </c>
      <c r="W68" s="17"/>
      <c r="X68" s="17"/>
      <c r="Y68" s="17"/>
      <c r="Z68" s="17"/>
      <c r="AA68" s="17"/>
      <c r="AB68" s="17" t="s">
        <v>49</v>
      </c>
      <c r="AC68" s="17"/>
      <c r="AD68" s="17" t="s">
        <v>50</v>
      </c>
      <c r="AE68" s="17"/>
      <c r="AF68" s="17"/>
      <c r="AG68" s="17"/>
      <c r="AH68" s="17"/>
      <c r="AI68" s="17"/>
      <c r="AJ68" s="17"/>
      <c r="AK68" s="29"/>
    </row>
    <row r="69" spans="1:37" ht="9.9499999999999993">
      <c r="A69" s="29">
        <v>46266</v>
      </c>
      <c r="B69" s="22">
        <v>3392960</v>
      </c>
      <c r="C69" s="17" t="s">
        <v>274</v>
      </c>
      <c r="D69" s="17" t="s">
        <v>38</v>
      </c>
      <c r="E69" s="17" t="s">
        <v>38</v>
      </c>
      <c r="F69" s="17"/>
      <c r="G69" s="17" t="str">
        <f>Table1[[#This Row],[DESCRIPCION_POSICION]]</f>
        <v>Operador Especializado de Plantas</v>
      </c>
      <c r="H69" s="22" t="s">
        <v>275</v>
      </c>
      <c r="I69" s="17" t="s">
        <v>40</v>
      </c>
      <c r="J69" s="17" t="s">
        <v>68</v>
      </c>
      <c r="K69" s="17" t="s">
        <v>86</v>
      </c>
      <c r="L69" s="36" t="s">
        <v>276</v>
      </c>
      <c r="M69" s="103"/>
      <c r="N69" s="37" t="s">
        <v>277</v>
      </c>
      <c r="O69" s="36" t="str">
        <f>VLOOKUP(L69,CECOs!A:B,2,0)</f>
        <v>Oper. Planta Compresión FP</v>
      </c>
      <c r="P69" s="17" t="str">
        <f>VLOOKUP(B:B,CECOs!G:I,3,FALSE)</f>
        <v>OperadordeCompresiónPlanta</v>
      </c>
      <c r="Q69" s="17" t="str">
        <f>IF(_xlfn.XLOOKUP(L69,CECOs!A:A,CECOs!C:C,"")="",K69,_xlfn.XLOOKUP(L69,CECOs!A:A,CECOs!C:C,""))</f>
        <v>HUARTE, ESTEBAN</v>
      </c>
      <c r="R69" s="17" t="s">
        <v>38</v>
      </c>
      <c r="S69" s="17" t="s">
        <v>45</v>
      </c>
      <c r="T69" s="17" t="s">
        <v>61</v>
      </c>
      <c r="U69" s="17" t="s">
        <v>217</v>
      </c>
      <c r="V69" s="17" t="s">
        <v>95</v>
      </c>
      <c r="W69" s="17"/>
      <c r="X69" s="17"/>
      <c r="Y69" s="17"/>
      <c r="Z69" s="17"/>
      <c r="AA69" s="17"/>
      <c r="AB69" s="17" t="s">
        <v>49</v>
      </c>
      <c r="AC69" s="17"/>
      <c r="AD69" s="17" t="s">
        <v>50</v>
      </c>
      <c r="AE69" s="17"/>
      <c r="AF69" s="17"/>
      <c r="AG69" s="17"/>
      <c r="AH69" s="17"/>
      <c r="AI69" s="17"/>
      <c r="AJ69" s="17"/>
      <c r="AK69" s="29"/>
    </row>
    <row r="70" spans="1:37" ht="9.9499999999999993">
      <c r="A70" s="29">
        <v>46266</v>
      </c>
      <c r="B70" s="22">
        <v>3414070</v>
      </c>
      <c r="C70" s="17" t="s">
        <v>278</v>
      </c>
      <c r="D70" s="17" t="s">
        <v>38</v>
      </c>
      <c r="E70" s="17" t="s">
        <v>38</v>
      </c>
      <c r="F70" s="17"/>
      <c r="G70" s="17" t="str">
        <f>Table1[[#This Row],[DESCRIPCION_POSICION]]</f>
        <v>HSE Lead Supervisor</v>
      </c>
      <c r="H70" s="22" t="s">
        <v>279</v>
      </c>
      <c r="I70" s="22" t="s">
        <v>40</v>
      </c>
      <c r="J70" s="22" t="s">
        <v>68</v>
      </c>
      <c r="K70" s="22" t="s">
        <v>169</v>
      </c>
      <c r="L70" s="86" t="s">
        <v>99</v>
      </c>
      <c r="M70" s="107"/>
      <c r="N70" s="37" t="s">
        <v>280</v>
      </c>
      <c r="O70" s="36" t="str">
        <f>VLOOKUP(L70,CECOs!A:B,2,0)</f>
        <v>PJ TLM</v>
      </c>
      <c r="P70" s="17" t="str">
        <f>VLOOKUP(B:B,CECOs!G:I,3,FALSE)</f>
        <v>SupervisoresSAS/OT</v>
      </c>
      <c r="Q70" s="17" t="str">
        <f>IF(_xlfn.XLOOKUP(L70,CECOs!A:A,CECOs!C:C,"")="",K70,_xlfn.XLOOKUP(L70,CECOs!A:A,CECOs!C:C,""))</f>
        <v>Martel Maximiliano Jose Tomas</v>
      </c>
      <c r="R70" s="17" t="s">
        <v>38</v>
      </c>
      <c r="S70" s="17" t="s">
        <v>45</v>
      </c>
      <c r="T70" s="17"/>
      <c r="U70" s="17" t="s">
        <v>281</v>
      </c>
      <c r="V70" s="17" t="s">
        <v>48</v>
      </c>
      <c r="W70" s="17"/>
      <c r="X70" s="17"/>
      <c r="Y70" s="17"/>
      <c r="Z70" s="17"/>
      <c r="AA70" s="17"/>
      <c r="AB70" s="17" t="s">
        <v>49</v>
      </c>
      <c r="AC70" s="17"/>
      <c r="AD70" s="17" t="s">
        <v>50</v>
      </c>
      <c r="AE70" s="17"/>
      <c r="AF70" s="17"/>
      <c r="AG70" s="17"/>
      <c r="AH70" s="17"/>
      <c r="AI70" s="17"/>
      <c r="AJ70" s="17"/>
      <c r="AK70" s="29"/>
    </row>
    <row r="71" spans="1:37" ht="9.9499999999999993">
      <c r="A71" s="29">
        <v>46266</v>
      </c>
      <c r="B71" s="22">
        <v>3414075</v>
      </c>
      <c r="C71" s="17" t="s">
        <v>282</v>
      </c>
      <c r="D71" s="17" t="s">
        <v>38</v>
      </c>
      <c r="E71" s="17" t="s">
        <v>38</v>
      </c>
      <c r="F71" s="17"/>
      <c r="G71" s="17" t="str">
        <f>Table1[[#This Row],[DESCRIPCION_POSICION]]</f>
        <v>Integrity Engineering Engineer</v>
      </c>
      <c r="H71" s="22" t="s">
        <v>283</v>
      </c>
      <c r="I71" s="17" t="s">
        <v>40</v>
      </c>
      <c r="J71" s="17" t="s">
        <v>68</v>
      </c>
      <c r="K71" s="17" t="s">
        <v>98</v>
      </c>
      <c r="L71" s="36" t="s">
        <v>99</v>
      </c>
      <c r="M71" s="103"/>
      <c r="N71" s="37" t="s">
        <v>284</v>
      </c>
      <c r="O71" s="36" t="str">
        <f>VLOOKUP(L71,CECOs!A:B,2,0)</f>
        <v>PJ TLM</v>
      </c>
      <c r="P71" s="17" t="str">
        <f>VLOOKUP(B:B,CECOs!G:I,3,FALSE)</f>
        <v>Supervisoroperativo/Producción</v>
      </c>
      <c r="Q71" s="17" t="str">
        <f>IF(_xlfn.XLOOKUP(L71,CECOs!A:A,CECOs!C:C,"")="",K71,_xlfn.XLOOKUP(L71,CECOs!A:A,CECOs!C:C,""))</f>
        <v>Segura Alejandro</v>
      </c>
      <c r="R71" s="17" t="s">
        <v>38</v>
      </c>
      <c r="S71" s="17" t="s">
        <v>45</v>
      </c>
      <c r="T71" s="17"/>
      <c r="U71" s="17" t="s">
        <v>285</v>
      </c>
      <c r="V71" s="17" t="s">
        <v>48</v>
      </c>
      <c r="W71" s="17"/>
      <c r="X71" s="17"/>
      <c r="Y71" s="17"/>
      <c r="Z71" s="17"/>
      <c r="AA71" s="17"/>
      <c r="AB71" s="17" t="s">
        <v>49</v>
      </c>
      <c r="AC71" s="17"/>
      <c r="AD71" s="17" t="s">
        <v>50</v>
      </c>
      <c r="AE71" s="17"/>
      <c r="AF71" s="17"/>
      <c r="AG71" s="17"/>
      <c r="AH71" s="17"/>
      <c r="AI71" s="17"/>
      <c r="AJ71" s="17"/>
      <c r="AK71" s="29"/>
    </row>
    <row r="72" spans="1:37" ht="9.9499999999999993">
      <c r="A72" s="29">
        <v>46266</v>
      </c>
      <c r="B72" s="22">
        <v>3437943</v>
      </c>
      <c r="C72" s="17" t="s">
        <v>286</v>
      </c>
      <c r="D72" s="17" t="s">
        <v>38</v>
      </c>
      <c r="E72" s="17" t="s">
        <v>38</v>
      </c>
      <c r="F72" s="17"/>
      <c r="G72" s="17"/>
      <c r="H72" s="46"/>
      <c r="I72" s="17" t="s">
        <v>40</v>
      </c>
      <c r="J72" s="17" t="s">
        <v>68</v>
      </c>
      <c r="K72" s="17" t="s">
        <v>98</v>
      </c>
      <c r="L72" s="36" t="s">
        <v>287</v>
      </c>
      <c r="M72" s="103"/>
      <c r="N72" s="48"/>
      <c r="O72" s="36" t="str">
        <f>VLOOKUP(L72,CECOs!A:B,2,0)</f>
        <v>PJ - TLM 2</v>
      </c>
      <c r="P72" s="17" t="str">
        <f>VLOOKUP(B:B,CECOs!G:I,3,FALSE)</f>
        <v>Supervisoroperativo/Producción</v>
      </c>
      <c r="Q72" s="17" t="str">
        <f>IF(_xlfn.XLOOKUP(L72,CECOs!A:A,CECOs!C:C,"")="",K72,_xlfn.XLOOKUP(L72,CECOs!A:A,CECOs!C:C,""))</f>
        <v>Segura Alejandro</v>
      </c>
      <c r="R72" s="17" t="s">
        <v>38</v>
      </c>
      <c r="S72" s="17" t="s">
        <v>45</v>
      </c>
      <c r="T72" s="17"/>
      <c r="U72" s="17" t="s">
        <v>285</v>
      </c>
      <c r="V72" s="17" t="s">
        <v>48</v>
      </c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29"/>
    </row>
    <row r="73" spans="1:37" ht="9.9499999999999993">
      <c r="A73" s="29">
        <v>46266</v>
      </c>
      <c r="B73" s="22">
        <v>3392843</v>
      </c>
      <c r="C73" s="17" t="s">
        <v>288</v>
      </c>
      <c r="D73" s="17" t="s">
        <v>38</v>
      </c>
      <c r="E73" s="17" t="s">
        <v>38</v>
      </c>
      <c r="F73" s="17"/>
      <c r="G73" s="17" t="str">
        <f>Table1[[#This Row],[DESCRIPCION_POSICION]]</f>
        <v>O&amp;M Control lead analyst</v>
      </c>
      <c r="H73" s="17" t="s">
        <v>289</v>
      </c>
      <c r="I73" s="17" t="s">
        <v>40</v>
      </c>
      <c r="J73" s="17" t="s">
        <v>68</v>
      </c>
      <c r="K73" s="17" t="s">
        <v>264</v>
      </c>
      <c r="L73" s="36" t="s">
        <v>261</v>
      </c>
      <c r="M73" s="103"/>
      <c r="N73" s="38" t="s">
        <v>290</v>
      </c>
      <c r="O73" s="36" t="str">
        <f>VLOOKUP(L73,CECOs!A:B,2,0)</f>
        <v>Programador PRR</v>
      </c>
      <c r="P73" s="17" t="str">
        <f>VLOOKUP(B:B,CECOs!G:I,3,FALSE)</f>
        <v>Personalnooperativo</v>
      </c>
      <c r="Q73" s="17" t="str">
        <f>IF(_xlfn.XLOOKUP(L73,CECOs!A:A,CECOs!C:C,"")="",K73,_xlfn.XLOOKUP(L73,CECOs!A:A,CECOs!C:C,""))</f>
        <v>Cañaveras Adrian Marcelo</v>
      </c>
      <c r="R73" s="17" t="s">
        <v>38</v>
      </c>
      <c r="S73" s="17" t="s">
        <v>45</v>
      </c>
      <c r="T73" s="17" t="s">
        <v>190</v>
      </c>
      <c r="U73" s="17" t="s">
        <v>94</v>
      </c>
      <c r="V73" s="17" t="s">
        <v>48</v>
      </c>
      <c r="W73" s="17"/>
      <c r="X73" s="17"/>
      <c r="Y73" s="17"/>
      <c r="Z73" s="17"/>
      <c r="AA73" s="17"/>
      <c r="AB73" s="17" t="s">
        <v>49</v>
      </c>
      <c r="AC73" s="17"/>
      <c r="AD73" s="17" t="s">
        <v>50</v>
      </c>
      <c r="AE73" s="17"/>
      <c r="AF73" s="17"/>
      <c r="AG73" s="17"/>
      <c r="AH73" s="17"/>
      <c r="AI73" s="17"/>
      <c r="AJ73" s="17"/>
      <c r="AK73" s="29"/>
    </row>
    <row r="74" spans="1:37" ht="9.9499999999999993">
      <c r="A74" s="29">
        <v>46266</v>
      </c>
      <c r="B74" s="22">
        <v>3418975</v>
      </c>
      <c r="C74" s="17" t="s">
        <v>291</v>
      </c>
      <c r="D74" s="17" t="s">
        <v>38</v>
      </c>
      <c r="E74" s="17" t="s">
        <v>38</v>
      </c>
      <c r="F74" s="17"/>
      <c r="G74" s="17" t="str">
        <f>Table1[[#This Row],[DESCRIPCION_POSICION]]</f>
        <v>Ingresante sin experiencia</v>
      </c>
      <c r="H74" s="46"/>
      <c r="I74" s="17" t="s">
        <v>40</v>
      </c>
      <c r="J74" s="17" t="s">
        <v>68</v>
      </c>
      <c r="K74" s="17" t="s">
        <v>73</v>
      </c>
      <c r="L74" s="36" t="s">
        <v>292</v>
      </c>
      <c r="M74" s="103"/>
      <c r="N74" s="47" t="s">
        <v>293</v>
      </c>
      <c r="O74" s="36" t="str">
        <f>VLOOKUP(L74,CECOs!A:B,2,0)</f>
        <v>Mecánicos FP</v>
      </c>
      <c r="P74" s="17" t="e">
        <f>VLOOKUP(B:B,CECOs!G:I,3,FALSE)</f>
        <v>#N/A</v>
      </c>
      <c r="Q74" s="17" t="str">
        <f>IF(_xlfn.XLOOKUP(L74,CECOs!A:A,CECOs!C:C,"")="",K74,_xlfn.XLOOKUP(L74,CECOs!A:A,CECOs!C:C,""))</f>
        <v>CASAL, GUSTAVO</v>
      </c>
      <c r="R74" s="17" t="s">
        <v>38</v>
      </c>
      <c r="S74" s="17" t="s">
        <v>45</v>
      </c>
      <c r="T74" s="17"/>
      <c r="U74" s="17" t="s">
        <v>143</v>
      </c>
      <c r="V74" s="17" t="s">
        <v>95</v>
      </c>
      <c r="W74" s="17"/>
      <c r="X74" s="17"/>
      <c r="Y74" s="17"/>
      <c r="Z74" s="17"/>
      <c r="AA74" s="17"/>
      <c r="AB74" s="17" t="s">
        <v>49</v>
      </c>
      <c r="AC74" s="17"/>
      <c r="AD74" s="17" t="s">
        <v>294</v>
      </c>
      <c r="AE74" s="17"/>
      <c r="AF74" s="17"/>
      <c r="AG74" s="17"/>
      <c r="AH74" s="17"/>
      <c r="AI74" s="17"/>
      <c r="AJ74" s="17"/>
      <c r="AK74" s="29"/>
    </row>
    <row r="75" spans="1:37" ht="9.9499999999999993">
      <c r="A75" s="29">
        <v>46266</v>
      </c>
      <c r="B75" s="22">
        <v>3392822</v>
      </c>
      <c r="C75" s="17" t="s">
        <v>144</v>
      </c>
      <c r="D75" s="17" t="s">
        <v>38</v>
      </c>
      <c r="E75" s="17" t="s">
        <v>38</v>
      </c>
      <c r="F75" s="17"/>
      <c r="G75" s="17" t="str">
        <f>Table1[[#This Row],[DESCRIPCION_POSICION]]</f>
        <v>HSE Sr. Supervisor</v>
      </c>
      <c r="H75" s="17" t="s">
        <v>295</v>
      </c>
      <c r="I75" s="17" t="s">
        <v>40</v>
      </c>
      <c r="J75" s="17" t="s">
        <v>68</v>
      </c>
      <c r="K75" s="17" t="s">
        <v>296</v>
      </c>
      <c r="L75" s="36" t="s">
        <v>147</v>
      </c>
      <c r="M75" s="103"/>
      <c r="N75" s="38" t="s">
        <v>297</v>
      </c>
      <c r="O75" s="36" t="str">
        <f>VLOOKUP(L75,CECOs!A:B,2,0)</f>
        <v>SAS PRR</v>
      </c>
      <c r="P75" s="17" t="str">
        <f>VLOOKUP(B:B,CECOs!G:I,3,FALSE)</f>
        <v>SupervisoresSAS/OT</v>
      </c>
      <c r="Q75" s="17" t="str">
        <f>IF(_xlfn.XLOOKUP(L75,CECOs!A:A,CECOs!C:C,"")="",K75,_xlfn.XLOOKUP(L75,CECOs!A:A,CECOs!C:C,""))</f>
        <v>Vicencio Cecilia Stefania</v>
      </c>
      <c r="R75" s="17" t="s">
        <v>38</v>
      </c>
      <c r="S75" s="17" t="s">
        <v>45</v>
      </c>
      <c r="T75" s="17" t="s">
        <v>149</v>
      </c>
      <c r="U75" s="17" t="s">
        <v>150</v>
      </c>
      <c r="V75" s="17" t="s">
        <v>48</v>
      </c>
      <c r="W75" s="17"/>
      <c r="X75" s="17"/>
      <c r="Y75" s="17"/>
      <c r="Z75" s="17"/>
      <c r="AA75" s="17"/>
      <c r="AB75" s="17" t="s">
        <v>49</v>
      </c>
      <c r="AC75" s="17"/>
      <c r="AD75" s="17" t="s">
        <v>50</v>
      </c>
      <c r="AE75" s="17"/>
      <c r="AF75" s="17"/>
      <c r="AG75" s="17"/>
      <c r="AH75" s="17"/>
      <c r="AI75" s="17"/>
      <c r="AJ75" s="17"/>
      <c r="AK75" s="29"/>
    </row>
    <row r="76" spans="1:37" ht="9.9499999999999993">
      <c r="A76" s="29">
        <v>46266</v>
      </c>
      <c r="B76" s="22">
        <v>3414077</v>
      </c>
      <c r="C76" s="17" t="s">
        <v>298</v>
      </c>
      <c r="D76" s="17" t="s">
        <v>38</v>
      </c>
      <c r="E76" s="17" t="s">
        <v>38</v>
      </c>
      <c r="F76" s="17"/>
      <c r="G76" s="17" t="str">
        <f>Table1[[#This Row],[DESCRIPCION_POSICION]]</f>
        <v>TLM Services Coordinator</v>
      </c>
      <c r="H76" s="17" t="s">
        <v>299</v>
      </c>
      <c r="I76" s="17" t="s">
        <v>40</v>
      </c>
      <c r="J76" s="17" t="s">
        <v>68</v>
      </c>
      <c r="K76" s="17" t="s">
        <v>56</v>
      </c>
      <c r="L76" s="36" t="s">
        <v>99</v>
      </c>
      <c r="M76" s="103"/>
      <c r="N76" s="38" t="s">
        <v>300</v>
      </c>
      <c r="O76" s="36" t="str">
        <f>VLOOKUP(L76,CECOs!A:B,2,0)</f>
        <v>PJ TLM</v>
      </c>
      <c r="P76" s="17" t="str">
        <f>VLOOKUP(B:B,CECOs!G:I,3,FALSE)</f>
        <v>FacilitadordeServicios</v>
      </c>
      <c r="Q76" s="17" t="str">
        <f>IF(_xlfn.XLOOKUP(L76,CECOs!A:A,CECOs!C:C,"")="",K76,_xlfn.XLOOKUP(L76,CECOs!A:A,CECOs!C:C,""))</f>
        <v>Batallan Pablo Alejandro</v>
      </c>
      <c r="R76" s="17" t="s">
        <v>38</v>
      </c>
      <c r="S76" s="17" t="s">
        <v>45</v>
      </c>
      <c r="T76" s="17"/>
      <c r="U76" s="17" t="s">
        <v>47</v>
      </c>
      <c r="V76" s="17" t="s">
        <v>48</v>
      </c>
      <c r="W76" s="17"/>
      <c r="X76" s="17"/>
      <c r="Y76" s="17"/>
      <c r="Z76" s="17"/>
      <c r="AA76" s="17"/>
      <c r="AB76" s="17" t="s">
        <v>49</v>
      </c>
      <c r="AC76" s="17"/>
      <c r="AD76" s="17" t="s">
        <v>50</v>
      </c>
      <c r="AE76" s="17"/>
      <c r="AF76" s="17"/>
      <c r="AG76" s="17"/>
      <c r="AH76" s="17"/>
      <c r="AI76" s="17"/>
      <c r="AJ76" s="17"/>
      <c r="AK76" s="29"/>
    </row>
    <row r="77" spans="1:37" ht="9.9499999999999993">
      <c r="A77" s="29">
        <v>46266</v>
      </c>
      <c r="B77" s="22">
        <v>3424476</v>
      </c>
      <c r="C77" s="17" t="s">
        <v>301</v>
      </c>
      <c r="D77" s="17" t="s">
        <v>38</v>
      </c>
      <c r="E77" s="17" t="s">
        <v>38</v>
      </c>
      <c r="F77" s="17"/>
      <c r="G77" s="17" t="str">
        <f>Table1[[#This Row],[DESCRIPCION_POSICION]]</f>
        <v>Facilities Operations Lead Supervisor</v>
      </c>
      <c r="H77" s="33" t="s">
        <v>302</v>
      </c>
      <c r="I77" s="17" t="s">
        <v>40</v>
      </c>
      <c r="J77" s="17" t="s">
        <v>68</v>
      </c>
      <c r="K77" s="17" t="s">
        <v>303</v>
      </c>
      <c r="L77" s="36" t="s">
        <v>304</v>
      </c>
      <c r="M77" s="103"/>
      <c r="N77" s="38" t="s">
        <v>305</v>
      </c>
      <c r="O77" s="36" t="str">
        <f>VLOOKUP(L77,CECOs!A:B,2,0)</f>
        <v>Otras especialidades</v>
      </c>
      <c r="P77" s="17" t="str">
        <f>VLOOKUP(B:B,CECOs!G:I,3,FALSE)</f>
        <v>Supervisoroperativo/Producción</v>
      </c>
      <c r="Q77" s="17" t="str">
        <f>IF(_xlfn.XLOOKUP(L77,CECOs!A:A,CECOs!C:C,"")="",K77,_xlfn.XLOOKUP(L77,CECOs!A:A,CECOs!C:C,""))</f>
        <v>Carabajal Marcelo</v>
      </c>
      <c r="R77" s="17" t="s">
        <v>38</v>
      </c>
      <c r="S77" s="17" t="s">
        <v>45</v>
      </c>
      <c r="T77" s="17"/>
      <c r="U77" s="17" t="s">
        <v>306</v>
      </c>
      <c r="V77" s="17" t="s">
        <v>48</v>
      </c>
      <c r="W77" s="17"/>
      <c r="X77" s="17"/>
      <c r="Y77" s="17"/>
      <c r="Z77" s="17"/>
      <c r="AA77" s="17"/>
      <c r="AB77" s="17" t="s">
        <v>49</v>
      </c>
      <c r="AC77" s="17"/>
      <c r="AD77" s="17" t="s">
        <v>50</v>
      </c>
      <c r="AE77" s="17"/>
      <c r="AF77" s="17"/>
      <c r="AG77" s="17"/>
      <c r="AH77" s="17"/>
      <c r="AI77" s="17"/>
      <c r="AJ77" s="17"/>
      <c r="AK77" s="29"/>
    </row>
    <row r="78" spans="1:37" ht="9.9499999999999993">
      <c r="A78" s="29">
        <v>46266</v>
      </c>
      <c r="B78" s="22">
        <v>3424477</v>
      </c>
      <c r="C78" s="17" t="s">
        <v>307</v>
      </c>
      <c r="D78" s="17" t="s">
        <v>38</v>
      </c>
      <c r="E78" s="17" t="s">
        <v>38</v>
      </c>
      <c r="F78" s="17"/>
      <c r="G78" s="17" t="str">
        <f>Table1[[#This Row],[DESCRIPCION_POSICION]]</f>
        <v>Chemical Treatment Lead Supervisor</v>
      </c>
      <c r="H78" s="17" t="s">
        <v>308</v>
      </c>
      <c r="I78" s="17" t="s">
        <v>40</v>
      </c>
      <c r="J78" s="17" t="s">
        <v>68</v>
      </c>
      <c r="K78" s="17" t="s">
        <v>309</v>
      </c>
      <c r="L78" s="36" t="s">
        <v>304</v>
      </c>
      <c r="M78" s="103"/>
      <c r="N78" s="38" t="s">
        <v>310</v>
      </c>
      <c r="O78" s="36" t="str">
        <f>VLOOKUP(L78,CECOs!A:B,2,0)</f>
        <v>Otras especialidades</v>
      </c>
      <c r="P78" s="17">
        <f>VLOOKUP(B:B,CECOs!G:I,3,FALSE)</f>
        <v>0</v>
      </c>
      <c r="Q78" s="17" t="str">
        <f>IF(_xlfn.XLOOKUP(L78,CECOs!A:A,CECOs!C:C,"")="",K78,_xlfn.XLOOKUP(L78,CECOs!A:A,CECOs!C:C,""))</f>
        <v>Carreras Natania</v>
      </c>
      <c r="R78" s="17" t="s">
        <v>38</v>
      </c>
      <c r="S78" s="17" t="s">
        <v>45</v>
      </c>
      <c r="T78" s="17"/>
      <c r="U78" s="17" t="s">
        <v>94</v>
      </c>
      <c r="V78" s="17" t="s">
        <v>48</v>
      </c>
      <c r="W78" s="17"/>
      <c r="X78" s="17"/>
      <c r="Y78" s="17"/>
      <c r="Z78" s="17"/>
      <c r="AA78" s="17"/>
      <c r="AB78" s="17" t="s">
        <v>49</v>
      </c>
      <c r="AC78" s="17"/>
      <c r="AD78" s="17" t="s">
        <v>50</v>
      </c>
      <c r="AE78" s="17"/>
      <c r="AF78" s="17"/>
      <c r="AG78" s="17"/>
      <c r="AH78" s="17"/>
      <c r="AI78" s="17"/>
      <c r="AJ78" s="17"/>
      <c r="AK78" s="29"/>
    </row>
    <row r="79" spans="1:37" ht="9.9499999999999993">
      <c r="A79" s="29">
        <v>46266</v>
      </c>
      <c r="B79" s="22">
        <v>3437611</v>
      </c>
      <c r="C79" s="17" t="s">
        <v>139</v>
      </c>
      <c r="D79" s="17" t="s">
        <v>38</v>
      </c>
      <c r="E79" s="17" t="s">
        <v>38</v>
      </c>
      <c r="F79" s="17"/>
      <c r="G79" s="17" t="str">
        <f>Table1[[#This Row],[DESCRIPCION_POSICION]]</f>
        <v>General Services Supervisor</v>
      </c>
      <c r="H79" s="17" t="s">
        <v>311</v>
      </c>
      <c r="I79" s="17" t="s">
        <v>40</v>
      </c>
      <c r="J79" s="17" t="s">
        <v>68</v>
      </c>
      <c r="K79" s="17" t="s">
        <v>141</v>
      </c>
      <c r="L79" s="36" t="s">
        <v>312</v>
      </c>
      <c r="M79" s="103"/>
      <c r="N79" s="38" t="s">
        <v>313</v>
      </c>
      <c r="O79" s="36" t="str">
        <f>VLOOKUP(L79,CECOs!A:B,2,0)</f>
        <v>Supervisores SERGE</v>
      </c>
      <c r="P79" s="17" t="str">
        <f>VLOOKUP(B:B,CECOs!G:I,3,FALSE)</f>
        <v>Supervisoroperativo/Producción</v>
      </c>
      <c r="Q79" s="17" t="str">
        <f>IF(_xlfn.XLOOKUP(L79,CECOs!A:A,CECOs!C:C,"")="",K79,_xlfn.XLOOKUP(L79,CECOs!A:A,CECOs!C:C,""))</f>
        <v>Zuluaga Gabriel</v>
      </c>
      <c r="R79" s="17" t="s">
        <v>38</v>
      </c>
      <c r="S79" s="17" t="s">
        <v>45</v>
      </c>
      <c r="T79" s="17"/>
      <c r="U79" s="17" t="s">
        <v>143</v>
      </c>
      <c r="V79" s="17" t="s">
        <v>48</v>
      </c>
      <c r="W79" s="17"/>
      <c r="X79" s="17"/>
      <c r="Y79" s="17"/>
      <c r="Z79" s="17"/>
      <c r="AA79" s="17"/>
      <c r="AB79" s="17" t="s">
        <v>49</v>
      </c>
      <c r="AC79" s="17"/>
      <c r="AD79" s="17" t="s">
        <v>50</v>
      </c>
      <c r="AE79" s="17"/>
      <c r="AF79" s="17"/>
      <c r="AG79" s="17"/>
      <c r="AH79" s="17"/>
      <c r="AI79" s="17"/>
      <c r="AJ79" s="17"/>
      <c r="AK79" s="29"/>
    </row>
    <row r="80" spans="1:37" ht="9.9499999999999993">
      <c r="A80" s="29">
        <v>46266</v>
      </c>
      <c r="B80" s="22">
        <v>3437848</v>
      </c>
      <c r="C80" s="17" t="s">
        <v>139</v>
      </c>
      <c r="D80" s="17" t="s">
        <v>38</v>
      </c>
      <c r="E80" s="17" t="s">
        <v>38</v>
      </c>
      <c r="F80" s="17"/>
      <c r="G80" s="17" t="str">
        <f>Table1[[#This Row],[DESCRIPCION_POSICION]]</f>
        <v>General Services Supervisor</v>
      </c>
      <c r="H80" s="22" t="s">
        <v>314</v>
      </c>
      <c r="I80" s="17" t="s">
        <v>40</v>
      </c>
      <c r="J80" s="17" t="s">
        <v>68</v>
      </c>
      <c r="K80" s="17" t="s">
        <v>141</v>
      </c>
      <c r="L80" s="36" t="s">
        <v>312</v>
      </c>
      <c r="M80" s="103"/>
      <c r="N80" s="37" t="s">
        <v>315</v>
      </c>
      <c r="O80" s="36" t="str">
        <f>VLOOKUP(L80,CECOs!A:B,2,0)</f>
        <v>Supervisores SERGE</v>
      </c>
      <c r="P80" s="17" t="e">
        <f>VLOOKUP(B:B,CECOs!G:I,3,FALSE)</f>
        <v>#N/A</v>
      </c>
      <c r="Q80" s="17" t="str">
        <f>IF(_xlfn.XLOOKUP(L80,CECOs!A:A,CECOs!C:C,"")="",K80,_xlfn.XLOOKUP(L80,CECOs!A:A,CECOs!C:C,""))</f>
        <v>Zuluaga Gabriel</v>
      </c>
      <c r="R80" s="17" t="s">
        <v>38</v>
      </c>
      <c r="S80" s="17" t="s">
        <v>45</v>
      </c>
      <c r="T80" s="17"/>
      <c r="U80" s="17" t="s">
        <v>143</v>
      </c>
      <c r="V80" s="17" t="s">
        <v>48</v>
      </c>
      <c r="W80" s="17"/>
      <c r="X80" s="17"/>
      <c r="Y80" s="17"/>
      <c r="Z80" s="17"/>
      <c r="AA80" s="17"/>
      <c r="AB80" s="17" t="s">
        <v>49</v>
      </c>
      <c r="AC80" s="17"/>
      <c r="AD80" s="17" t="s">
        <v>50</v>
      </c>
      <c r="AE80" s="17"/>
      <c r="AF80" s="17"/>
      <c r="AG80" s="17"/>
      <c r="AH80" s="17"/>
      <c r="AI80" s="17"/>
      <c r="AJ80" s="17"/>
      <c r="AK80" s="29"/>
    </row>
    <row r="81" spans="1:37" ht="9.9499999999999993">
      <c r="A81" s="29">
        <v>46266</v>
      </c>
      <c r="B81" s="22">
        <v>3437845</v>
      </c>
      <c r="C81" s="17" t="s">
        <v>139</v>
      </c>
      <c r="D81" s="17" t="s">
        <v>38</v>
      </c>
      <c r="E81" s="17" t="s">
        <v>38</v>
      </c>
      <c r="F81" s="17"/>
      <c r="G81" s="17"/>
      <c r="H81" s="22" t="s">
        <v>316</v>
      </c>
      <c r="I81" s="17" t="s">
        <v>40</v>
      </c>
      <c r="J81" s="17" t="s">
        <v>68</v>
      </c>
      <c r="K81" s="17" t="s">
        <v>141</v>
      </c>
      <c r="L81" s="36" t="s">
        <v>116</v>
      </c>
      <c r="M81" s="103"/>
      <c r="N81" s="80" t="s">
        <v>317</v>
      </c>
      <c r="O81" s="36" t="str">
        <f>VLOOKUP(L81,CECOs!A:B,2,0)</f>
        <v>Indirectos PRR</v>
      </c>
      <c r="P81" s="17" t="e">
        <f>VLOOKUP(B:B,CECOs!G:I,3,FALSE)</f>
        <v>#N/A</v>
      </c>
      <c r="Q81" s="17" t="str">
        <f>IF(_xlfn.XLOOKUP(L81,CECOs!A:A,CECOs!C:C,"")="",K81,_xlfn.XLOOKUP(L81,CECOs!A:A,CECOs!C:C,""))</f>
        <v>Zuluaga Gabriel</v>
      </c>
      <c r="R81" s="17" t="s">
        <v>38</v>
      </c>
      <c r="S81" s="17" t="s">
        <v>45</v>
      </c>
      <c r="T81" s="17"/>
      <c r="U81" s="17" t="s">
        <v>143</v>
      </c>
      <c r="V81" s="17" t="s">
        <v>48</v>
      </c>
      <c r="W81" s="17"/>
      <c r="X81" s="17"/>
      <c r="Y81" s="17"/>
      <c r="Z81" s="17"/>
      <c r="AA81" s="17"/>
      <c r="AB81" s="17" t="s">
        <v>49</v>
      </c>
      <c r="AC81" s="17"/>
      <c r="AD81" s="17" t="s">
        <v>50</v>
      </c>
      <c r="AE81" s="17"/>
      <c r="AF81" s="17"/>
      <c r="AG81" s="17"/>
      <c r="AH81" s="17"/>
      <c r="AI81" s="17"/>
      <c r="AJ81" s="17"/>
      <c r="AK81" s="29"/>
    </row>
    <row r="82" spans="1:37" ht="9.9499999999999993">
      <c r="A82" s="29">
        <v>46266</v>
      </c>
      <c r="B82" s="22">
        <v>3437876</v>
      </c>
      <c r="C82" s="17" t="s">
        <v>318</v>
      </c>
      <c r="D82" s="17" t="s">
        <v>38</v>
      </c>
      <c r="E82" s="17" t="s">
        <v>38</v>
      </c>
      <c r="F82" s="17"/>
      <c r="G82" s="17" t="str">
        <f>Table1[[#This Row],[DESCRIPCION_POSICION]]</f>
        <v>Well Services Supervisor</v>
      </c>
      <c r="H82" s="22" t="s">
        <v>319</v>
      </c>
      <c r="I82" s="17" t="s">
        <v>40</v>
      </c>
      <c r="J82" s="17" t="s">
        <v>68</v>
      </c>
      <c r="K82" s="17" t="s">
        <v>320</v>
      </c>
      <c r="L82" s="54" t="s">
        <v>79</v>
      </c>
      <c r="M82" s="103"/>
      <c r="N82" s="37" t="s">
        <v>321</v>
      </c>
      <c r="O82" s="36" t="str">
        <f>VLOOKUP(L82,CECOs!A:B,2,0)</f>
        <v>Supervisores Well Services</v>
      </c>
      <c r="P82" s="17" t="e">
        <f>VLOOKUP(B:B,CECOs!G:I,3,FALSE)</f>
        <v>#N/A</v>
      </c>
      <c r="Q82" s="17" t="str">
        <f>IF(_xlfn.XLOOKUP(L82,CECOs!A:A,CECOs!C:C,"")="",K82,_xlfn.XLOOKUP(L82,CECOs!A:A,CECOs!C:C,""))</f>
        <v>Buzaglo Sebastian</v>
      </c>
      <c r="R82" s="17" t="s">
        <v>38</v>
      </c>
      <c r="S82" s="17" t="s">
        <v>45</v>
      </c>
      <c r="T82" s="17"/>
      <c r="U82" s="17" t="s">
        <v>217</v>
      </c>
      <c r="V82" s="17" t="s">
        <v>48</v>
      </c>
      <c r="W82" s="17"/>
      <c r="X82" s="17"/>
      <c r="Y82" s="17"/>
      <c r="Z82" s="17"/>
      <c r="AA82" s="17"/>
      <c r="AB82" s="17" t="s">
        <v>49</v>
      </c>
      <c r="AC82" s="17"/>
      <c r="AD82" s="17" t="s">
        <v>50</v>
      </c>
      <c r="AE82" s="17"/>
      <c r="AF82" s="17"/>
      <c r="AG82" s="17"/>
      <c r="AH82" s="17"/>
      <c r="AI82" s="17"/>
      <c r="AJ82" s="17"/>
      <c r="AK82" s="29"/>
    </row>
    <row r="83" spans="1:37" ht="9.9499999999999993">
      <c r="A83" s="29">
        <v>46266</v>
      </c>
      <c r="B83" s="22">
        <v>3437877</v>
      </c>
      <c r="C83" s="17" t="s">
        <v>318</v>
      </c>
      <c r="D83" s="17" t="s">
        <v>38</v>
      </c>
      <c r="E83" s="17" t="s">
        <v>38</v>
      </c>
      <c r="F83" s="17"/>
      <c r="G83" s="17" t="str">
        <f>Table1[[#This Row],[DESCRIPCION_POSICION]]</f>
        <v>Well Services Supervisor</v>
      </c>
      <c r="H83" s="22" t="s">
        <v>322</v>
      </c>
      <c r="I83" s="17" t="s">
        <v>40</v>
      </c>
      <c r="J83" s="17" t="s">
        <v>68</v>
      </c>
      <c r="K83" s="17" t="s">
        <v>320</v>
      </c>
      <c r="L83" s="54" t="s">
        <v>79</v>
      </c>
      <c r="M83" s="103"/>
      <c r="N83" s="37" t="s">
        <v>323</v>
      </c>
      <c r="O83" s="36" t="str">
        <f>VLOOKUP(L83,CECOs!A:B,2,0)</f>
        <v>Supervisores Well Services</v>
      </c>
      <c r="P83" s="17" t="e">
        <f>VLOOKUP(B:B,CECOs!G:I,3,FALSE)</f>
        <v>#N/A</v>
      </c>
      <c r="Q83" s="17" t="str">
        <f>IF(_xlfn.XLOOKUP(L83,CECOs!A:A,CECOs!C:C,"")="",K83,_xlfn.XLOOKUP(L83,CECOs!A:A,CECOs!C:C,""))</f>
        <v>Buzaglo Sebastian</v>
      </c>
      <c r="R83" s="17" t="s">
        <v>38</v>
      </c>
      <c r="S83" s="17" t="s">
        <v>45</v>
      </c>
      <c r="T83" s="17"/>
      <c r="U83" s="17" t="s">
        <v>217</v>
      </c>
      <c r="V83" s="17" t="s">
        <v>48</v>
      </c>
      <c r="W83" s="17"/>
      <c r="X83" s="17"/>
      <c r="Y83" s="17"/>
      <c r="Z83" s="17"/>
      <c r="AA83" s="17"/>
      <c r="AB83" s="17" t="s">
        <v>49</v>
      </c>
      <c r="AC83" s="17"/>
      <c r="AD83" s="17" t="s">
        <v>50</v>
      </c>
      <c r="AE83" s="17"/>
      <c r="AF83" s="17"/>
      <c r="AG83" s="17"/>
      <c r="AH83" s="17"/>
      <c r="AI83" s="17"/>
      <c r="AJ83" s="17"/>
      <c r="AK83" s="29"/>
    </row>
    <row r="84" spans="1:37" ht="9.9499999999999993">
      <c r="A84" s="29">
        <v>46266</v>
      </c>
      <c r="B84" s="22">
        <v>3437762</v>
      </c>
      <c r="C84" s="17" t="s">
        <v>324</v>
      </c>
      <c r="D84" s="17" t="s">
        <v>38</v>
      </c>
      <c r="E84" s="17" t="s">
        <v>38</v>
      </c>
      <c r="F84" s="17"/>
      <c r="G84" s="17"/>
      <c r="H84" s="46"/>
      <c r="I84" s="17" t="s">
        <v>40</v>
      </c>
      <c r="J84" s="17" t="s">
        <v>68</v>
      </c>
      <c r="K84" s="17" t="s">
        <v>325</v>
      </c>
      <c r="L84" s="36" t="s">
        <v>326</v>
      </c>
      <c r="M84" s="103"/>
      <c r="N84" s="48" t="s">
        <v>327</v>
      </c>
      <c r="O84" s="36" t="str">
        <f>VLOOKUP(L84,CECOs!A:B,2,0)</f>
        <v>Sup. Interferencias/Entregas LT2E</v>
      </c>
      <c r="P84" s="17" t="str">
        <f>VLOOKUP(B:B,CECOs!G:I,3,FALSE)</f>
        <v>Supervisoroperativo/Producción</v>
      </c>
      <c r="Q84" s="17" t="str">
        <f>IF(_xlfn.XLOOKUP(L84,CECOs!A:A,CECOs!C:C,"")="",K84,_xlfn.XLOOKUP(L84,CECOs!A:A,CECOs!C:C,""))</f>
        <v>Crespo Luis</v>
      </c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29"/>
    </row>
    <row r="85" spans="1:37" ht="9.9499999999999993">
      <c r="A85" s="29">
        <v>46266</v>
      </c>
      <c r="B85" s="22">
        <v>3437763</v>
      </c>
      <c r="C85" s="17" t="s">
        <v>324</v>
      </c>
      <c r="D85" s="17" t="s">
        <v>38</v>
      </c>
      <c r="E85" s="17" t="s">
        <v>38</v>
      </c>
      <c r="F85" s="17"/>
      <c r="G85" s="17"/>
      <c r="H85" s="46"/>
      <c r="I85" s="17" t="s">
        <v>40</v>
      </c>
      <c r="J85" s="17" t="s">
        <v>68</v>
      </c>
      <c r="K85" s="17" t="s">
        <v>325</v>
      </c>
      <c r="L85" s="36" t="s">
        <v>326</v>
      </c>
      <c r="M85" s="103"/>
      <c r="N85" s="48" t="s">
        <v>327</v>
      </c>
      <c r="O85" s="36" t="str">
        <f>VLOOKUP(L85,CECOs!A:B,2,0)</f>
        <v>Sup. Interferencias/Entregas LT2E</v>
      </c>
      <c r="P85" s="17" t="str">
        <f>VLOOKUP(B:B,CECOs!G:I,3,FALSE)</f>
        <v>Supervisoroperativo/Producción</v>
      </c>
      <c r="Q85" s="17" t="str">
        <f>IF(_xlfn.XLOOKUP(L85,CECOs!A:A,CECOs!C:C,"")="",K85,_xlfn.XLOOKUP(L85,CECOs!A:A,CECOs!C:C,""))</f>
        <v>Crespo Luis</v>
      </c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29"/>
    </row>
    <row r="86" spans="1:37" ht="9.9499999999999993">
      <c r="A86" s="29">
        <v>46266</v>
      </c>
      <c r="B86" s="22">
        <v>3437764</v>
      </c>
      <c r="C86" s="17" t="s">
        <v>324</v>
      </c>
      <c r="D86" s="17" t="s">
        <v>38</v>
      </c>
      <c r="E86" s="17" t="s">
        <v>38</v>
      </c>
      <c r="F86" s="17"/>
      <c r="G86" s="17"/>
      <c r="H86" s="46"/>
      <c r="I86" s="17" t="s">
        <v>40</v>
      </c>
      <c r="J86" s="17" t="s">
        <v>68</v>
      </c>
      <c r="K86" s="17" t="s">
        <v>325</v>
      </c>
      <c r="L86" s="36" t="s">
        <v>326</v>
      </c>
      <c r="M86" s="103"/>
      <c r="N86" s="48" t="s">
        <v>327</v>
      </c>
      <c r="O86" s="36" t="str">
        <f>VLOOKUP(L86,CECOs!A:B,2,0)</f>
        <v>Sup. Interferencias/Entregas LT2E</v>
      </c>
      <c r="P86" s="17" t="str">
        <f>VLOOKUP(B:B,CECOs!G:I,3,FALSE)</f>
        <v>Supervisoroperativo/Producción</v>
      </c>
      <c r="Q86" s="17" t="str">
        <f>IF(_xlfn.XLOOKUP(L86,CECOs!A:A,CECOs!C:C,"")="",K86,_xlfn.XLOOKUP(L86,CECOs!A:A,CECOs!C:C,""))</f>
        <v>Crespo Luis</v>
      </c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29"/>
    </row>
    <row r="87" spans="1:37" ht="9.9499999999999993">
      <c r="A87" s="29">
        <v>46266</v>
      </c>
      <c r="B87" s="22">
        <v>3392847</v>
      </c>
      <c r="C87" s="17" t="s">
        <v>328</v>
      </c>
      <c r="D87" s="17" t="s">
        <v>38</v>
      </c>
      <c r="E87" s="17" t="s">
        <v>38</v>
      </c>
      <c r="F87" s="17"/>
      <c r="G87" s="17" t="str">
        <f>Table1[[#This Row],[DESCRIPCION_POSICION]]</f>
        <v>Operador Especializado Semi Jr. Plantas</v>
      </c>
      <c r="H87" s="22" t="s">
        <v>329</v>
      </c>
      <c r="I87" s="17" t="s">
        <v>40</v>
      </c>
      <c r="J87" s="17" t="s">
        <v>68</v>
      </c>
      <c r="K87" s="17" t="s">
        <v>84</v>
      </c>
      <c r="L87" s="36" t="s">
        <v>330</v>
      </c>
      <c r="M87" s="103"/>
      <c r="N87" s="37" t="s">
        <v>331</v>
      </c>
      <c r="O87" s="36" t="str">
        <f>VLOOKUP(L87,CECOs!A:B,2,0)</f>
        <v>Oper. PTA LBAS</v>
      </c>
      <c r="P87" s="17" t="str">
        <f>VLOOKUP(B:B,CECOs!G:I,3,FALSE)</f>
        <v>OperadordePlantaconvencional</v>
      </c>
      <c r="Q87" s="17" t="str">
        <f>IF(_xlfn.XLOOKUP(L87,CECOs!A:A,CECOs!C:C,"")="",K87,_xlfn.XLOOKUP(L87,CECOs!A:A,CECOs!C:C,""))</f>
        <v>BECHARA, LUCAS ANTONIO</v>
      </c>
      <c r="R87" s="17" t="s">
        <v>38</v>
      </c>
      <c r="S87" s="17" t="s">
        <v>45</v>
      </c>
      <c r="T87" s="17" t="s">
        <v>61</v>
      </c>
      <c r="U87" s="17" t="s">
        <v>217</v>
      </c>
      <c r="V87" s="17" t="s">
        <v>95</v>
      </c>
      <c r="W87" s="17"/>
      <c r="X87" s="17"/>
      <c r="Y87" s="17"/>
      <c r="Z87" s="17"/>
      <c r="AA87" s="17"/>
      <c r="AB87" s="17" t="s">
        <v>49</v>
      </c>
      <c r="AC87" s="17"/>
      <c r="AD87" s="17" t="s">
        <v>50</v>
      </c>
      <c r="AE87" s="17"/>
      <c r="AF87" s="17"/>
      <c r="AG87" s="17"/>
      <c r="AH87" s="17"/>
      <c r="AI87" s="17"/>
      <c r="AJ87" s="17"/>
      <c r="AK87" s="29"/>
    </row>
    <row r="88" spans="1:37" ht="9.9499999999999993">
      <c r="A88" s="29">
        <v>46266</v>
      </c>
      <c r="B88" s="22">
        <v>3392848</v>
      </c>
      <c r="C88" s="17" t="s">
        <v>332</v>
      </c>
      <c r="D88" s="17" t="s">
        <v>38</v>
      </c>
      <c r="E88" s="17" t="s">
        <v>38</v>
      </c>
      <c r="F88" s="17"/>
      <c r="G88" s="17" t="str">
        <f>Table1[[#This Row],[DESCRIPCION_POSICION]]</f>
        <v>Operador Principal</v>
      </c>
      <c r="H88" s="17" t="s">
        <v>333</v>
      </c>
      <c r="I88" s="17" t="s">
        <v>40</v>
      </c>
      <c r="J88" s="17" t="s">
        <v>68</v>
      </c>
      <c r="K88" s="17" t="s">
        <v>84</v>
      </c>
      <c r="L88" s="36" t="s">
        <v>330</v>
      </c>
      <c r="M88" s="103"/>
      <c r="N88" s="38" t="s">
        <v>334</v>
      </c>
      <c r="O88" s="36" t="str">
        <f>VLOOKUP(L88,CECOs!A:B,2,0)</f>
        <v>Oper. PTA LBAS</v>
      </c>
      <c r="P88" s="17" t="str">
        <f>VLOOKUP(B:B,CECOs!G:I,3,FALSE)</f>
        <v>OperadordePlantaconvencional</v>
      </c>
      <c r="Q88" s="17" t="str">
        <f>IF(_xlfn.XLOOKUP(L88,CECOs!A:A,CECOs!C:C,"")="",K88,_xlfn.XLOOKUP(L88,CECOs!A:A,CECOs!C:C,""))</f>
        <v>BECHARA, LUCAS ANTONIO</v>
      </c>
      <c r="R88" s="17" t="s">
        <v>38</v>
      </c>
      <c r="S88" s="17" t="s">
        <v>45</v>
      </c>
      <c r="T88" s="17" t="s">
        <v>61</v>
      </c>
      <c r="U88" s="17" t="s">
        <v>217</v>
      </c>
      <c r="V88" s="17" t="s">
        <v>95</v>
      </c>
      <c r="W88" s="17"/>
      <c r="X88" s="17"/>
      <c r="Y88" s="17"/>
      <c r="Z88" s="17"/>
      <c r="AA88" s="17"/>
      <c r="AB88" s="17" t="s">
        <v>49</v>
      </c>
      <c r="AC88" s="17"/>
      <c r="AD88" s="17" t="s">
        <v>50</v>
      </c>
      <c r="AE88" s="17"/>
      <c r="AF88" s="17"/>
      <c r="AG88" s="17"/>
      <c r="AH88" s="17"/>
      <c r="AI88" s="17"/>
      <c r="AJ88" s="17"/>
      <c r="AK88" s="29"/>
    </row>
    <row r="89" spans="1:37" ht="9.9499999999999993">
      <c r="A89" s="29">
        <v>46266</v>
      </c>
      <c r="B89" s="22">
        <v>3392849</v>
      </c>
      <c r="C89" s="17" t="s">
        <v>332</v>
      </c>
      <c r="D89" s="17" t="s">
        <v>38</v>
      </c>
      <c r="E89" s="17" t="s">
        <v>38</v>
      </c>
      <c r="F89" s="17"/>
      <c r="G89" s="17" t="str">
        <f>Table1[[#This Row],[DESCRIPCION_POSICION]]</f>
        <v>Operador Principal</v>
      </c>
      <c r="H89" s="22" t="s">
        <v>335</v>
      </c>
      <c r="I89" s="17" t="s">
        <v>40</v>
      </c>
      <c r="J89" s="17" t="s">
        <v>68</v>
      </c>
      <c r="K89" s="17" t="s">
        <v>84</v>
      </c>
      <c r="L89" s="36" t="s">
        <v>330</v>
      </c>
      <c r="M89" s="103"/>
      <c r="N89" s="37" t="s">
        <v>336</v>
      </c>
      <c r="O89" s="36" t="str">
        <f>VLOOKUP(L89,CECOs!A:B,2,0)</f>
        <v>Oper. PTA LBAS</v>
      </c>
      <c r="P89" s="17" t="str">
        <f>VLOOKUP(B:B,CECOs!G:I,3,FALSE)</f>
        <v>OperadordePlantaconvencional</v>
      </c>
      <c r="Q89" s="17" t="str">
        <f>IF(_xlfn.XLOOKUP(L89,CECOs!A:A,CECOs!C:C,"")="",K89,_xlfn.XLOOKUP(L89,CECOs!A:A,CECOs!C:C,""))</f>
        <v>BECHARA, LUCAS ANTONIO</v>
      </c>
      <c r="R89" s="17" t="s">
        <v>38</v>
      </c>
      <c r="S89" s="17" t="s">
        <v>45</v>
      </c>
      <c r="T89" s="17" t="s">
        <v>61</v>
      </c>
      <c r="U89" s="17" t="s">
        <v>217</v>
      </c>
      <c r="V89" s="17" t="s">
        <v>95</v>
      </c>
      <c r="W89" s="17"/>
      <c r="X89" s="17"/>
      <c r="Y89" s="17"/>
      <c r="Z89" s="17"/>
      <c r="AA89" s="17"/>
      <c r="AB89" s="17" t="s">
        <v>49</v>
      </c>
      <c r="AC89" s="17"/>
      <c r="AD89" s="17" t="s">
        <v>50</v>
      </c>
      <c r="AE89" s="17"/>
      <c r="AF89" s="17"/>
      <c r="AG89" s="17"/>
      <c r="AH89" s="17"/>
      <c r="AI89" s="17"/>
      <c r="AJ89" s="17"/>
      <c r="AK89" s="29"/>
    </row>
    <row r="90" spans="1:37" ht="9.9499999999999993">
      <c r="A90" s="29">
        <v>46266</v>
      </c>
      <c r="B90" s="22">
        <v>3392850</v>
      </c>
      <c r="C90" s="17" t="s">
        <v>213</v>
      </c>
      <c r="D90" s="17" t="s">
        <v>38</v>
      </c>
      <c r="E90" s="17" t="s">
        <v>38</v>
      </c>
      <c r="F90" s="17"/>
      <c r="G90" s="17" t="str">
        <f>Table1[[#This Row],[DESCRIPCION_POSICION]]</f>
        <v>Recorredor Especializado</v>
      </c>
      <c r="H90" s="17" t="s">
        <v>337</v>
      </c>
      <c r="I90" s="17" t="s">
        <v>40</v>
      </c>
      <c r="J90" s="17" t="s">
        <v>68</v>
      </c>
      <c r="K90" s="17" t="s">
        <v>84</v>
      </c>
      <c r="L90" s="36" t="s">
        <v>330</v>
      </c>
      <c r="M90" s="103"/>
      <c r="N90" s="38" t="s">
        <v>338</v>
      </c>
      <c r="O90" s="36" t="str">
        <f>VLOOKUP(L90,CECOs!A:B,2,0)</f>
        <v>Oper. PTA LBAS</v>
      </c>
      <c r="P90" s="17" t="str">
        <f>VLOOKUP(B:B,CECOs!G:I,3,FALSE)</f>
        <v>OperadordePlantaconvencional</v>
      </c>
      <c r="Q90" s="17" t="str">
        <f>IF(_xlfn.XLOOKUP(L90,CECOs!A:A,CECOs!C:C,"")="",K90,_xlfn.XLOOKUP(L90,CECOs!A:A,CECOs!C:C,""))</f>
        <v>BECHARA, LUCAS ANTONIO</v>
      </c>
      <c r="R90" s="17" t="s">
        <v>38</v>
      </c>
      <c r="S90" s="17" t="s">
        <v>45</v>
      </c>
      <c r="T90" s="17" t="s">
        <v>61</v>
      </c>
      <c r="U90" s="17" t="s">
        <v>217</v>
      </c>
      <c r="V90" s="17" t="s">
        <v>95</v>
      </c>
      <c r="W90" s="17"/>
      <c r="X90" s="17"/>
      <c r="Y90" s="17"/>
      <c r="Z90" s="17"/>
      <c r="AA90" s="17"/>
      <c r="AB90" s="17" t="s">
        <v>49</v>
      </c>
      <c r="AC90" s="17"/>
      <c r="AD90" s="17" t="s">
        <v>50</v>
      </c>
      <c r="AE90" s="17"/>
      <c r="AF90" s="17"/>
      <c r="AG90" s="17"/>
      <c r="AH90" s="17"/>
      <c r="AI90" s="17"/>
      <c r="AJ90" s="17"/>
      <c r="AK90" s="29"/>
    </row>
    <row r="91" spans="1:37" ht="9.9499999999999993">
      <c r="A91" s="29">
        <v>46266</v>
      </c>
      <c r="B91" s="22">
        <v>3392851</v>
      </c>
      <c r="C91" s="17" t="s">
        <v>339</v>
      </c>
      <c r="D91" s="17" t="s">
        <v>38</v>
      </c>
      <c r="E91" s="17" t="s">
        <v>38</v>
      </c>
      <c r="F91" s="17"/>
      <c r="G91" s="17" t="str">
        <f>Table1[[#This Row],[DESCRIPCION_POSICION]]</f>
        <v>Ingresante de Plantas</v>
      </c>
      <c r="H91" s="22" t="s">
        <v>340</v>
      </c>
      <c r="I91" s="17" t="s">
        <v>40</v>
      </c>
      <c r="J91" s="17" t="s">
        <v>68</v>
      </c>
      <c r="K91" s="17" t="s">
        <v>84</v>
      </c>
      <c r="L91" s="36" t="s">
        <v>330</v>
      </c>
      <c r="M91" s="103"/>
      <c r="N91" s="37" t="s">
        <v>341</v>
      </c>
      <c r="O91" s="36" t="str">
        <f>VLOOKUP(L91,CECOs!A:B,2,0)</f>
        <v>Oper. PTA LBAS</v>
      </c>
      <c r="P91" s="17" t="str">
        <f>VLOOKUP(B:B,CECOs!G:I,3,FALSE)</f>
        <v>OperadordePlantaconvencional</v>
      </c>
      <c r="Q91" s="17" t="str">
        <f>IF(_xlfn.XLOOKUP(L91,CECOs!A:A,CECOs!C:C,"")="",K91,_xlfn.XLOOKUP(L91,CECOs!A:A,CECOs!C:C,""))</f>
        <v>BECHARA, LUCAS ANTONIO</v>
      </c>
      <c r="R91" s="17" t="s">
        <v>38</v>
      </c>
      <c r="S91" s="17" t="s">
        <v>45</v>
      </c>
      <c r="T91" s="17" t="s">
        <v>61</v>
      </c>
      <c r="U91" s="17" t="s">
        <v>217</v>
      </c>
      <c r="V91" s="17" t="s">
        <v>95</v>
      </c>
      <c r="W91" s="17"/>
      <c r="X91" s="17"/>
      <c r="Y91" s="17"/>
      <c r="Z91" s="17"/>
      <c r="AA91" s="17"/>
      <c r="AB91" s="17" t="s">
        <v>49</v>
      </c>
      <c r="AC91" s="17"/>
      <c r="AD91" s="17" t="s">
        <v>50</v>
      </c>
      <c r="AE91" s="17"/>
      <c r="AF91" s="17"/>
      <c r="AG91" s="17"/>
      <c r="AH91" s="17"/>
      <c r="AI91" s="17"/>
      <c r="AJ91" s="17"/>
      <c r="AK91" s="29"/>
    </row>
    <row r="92" spans="1:37" ht="9.9499999999999993">
      <c r="A92" s="29">
        <v>46266</v>
      </c>
      <c r="B92" s="22">
        <v>3392852</v>
      </c>
      <c r="C92" s="17" t="s">
        <v>339</v>
      </c>
      <c r="D92" s="17" t="s">
        <v>38</v>
      </c>
      <c r="E92" s="17" t="s">
        <v>38</v>
      </c>
      <c r="F92" s="17"/>
      <c r="G92" s="17" t="str">
        <f>Table1[[#This Row],[DESCRIPCION_POSICION]]</f>
        <v>Ingresante de Plantas</v>
      </c>
      <c r="H92" s="17" t="s">
        <v>342</v>
      </c>
      <c r="I92" s="17" t="s">
        <v>40</v>
      </c>
      <c r="J92" s="17" t="s">
        <v>68</v>
      </c>
      <c r="K92" s="17" t="s">
        <v>84</v>
      </c>
      <c r="L92" s="36" t="s">
        <v>330</v>
      </c>
      <c r="M92" s="103"/>
      <c r="N92" s="38" t="s">
        <v>343</v>
      </c>
      <c r="O92" s="36" t="str">
        <f>VLOOKUP(L92,CECOs!A:B,2,0)</f>
        <v>Oper. PTA LBAS</v>
      </c>
      <c r="P92" s="17" t="str">
        <f>VLOOKUP(B:B,CECOs!G:I,3,FALSE)</f>
        <v>OperadordePlantaconvencional</v>
      </c>
      <c r="Q92" s="17" t="str">
        <f>IF(_xlfn.XLOOKUP(L92,CECOs!A:A,CECOs!C:C,"")="",K92,_xlfn.XLOOKUP(L92,CECOs!A:A,CECOs!C:C,""))</f>
        <v>BECHARA, LUCAS ANTONIO</v>
      </c>
      <c r="R92" s="17" t="s">
        <v>38</v>
      </c>
      <c r="S92" s="17" t="s">
        <v>45</v>
      </c>
      <c r="T92" s="17" t="s">
        <v>61</v>
      </c>
      <c r="U92" s="17" t="s">
        <v>217</v>
      </c>
      <c r="V92" s="17" t="s">
        <v>95</v>
      </c>
      <c r="W92" s="17"/>
      <c r="X92" s="17"/>
      <c r="Y92" s="17"/>
      <c r="Z92" s="17"/>
      <c r="AA92" s="17"/>
      <c r="AB92" s="17" t="s">
        <v>49</v>
      </c>
      <c r="AC92" s="17"/>
      <c r="AD92" s="17" t="s">
        <v>50</v>
      </c>
      <c r="AE92" s="17"/>
      <c r="AF92" s="17"/>
      <c r="AG92" s="17"/>
      <c r="AH92" s="17"/>
      <c r="AI92" s="17"/>
      <c r="AJ92" s="17"/>
      <c r="AK92" s="29"/>
    </row>
    <row r="93" spans="1:37" ht="9.9499999999999993">
      <c r="A93" s="29">
        <v>46266</v>
      </c>
      <c r="B93" s="22">
        <v>3392853</v>
      </c>
      <c r="C93" s="17" t="s">
        <v>328</v>
      </c>
      <c r="D93" s="17" t="s">
        <v>38</v>
      </c>
      <c r="E93" s="17" t="s">
        <v>38</v>
      </c>
      <c r="F93" s="17"/>
      <c r="G93" s="17" t="str">
        <f>Table1[[#This Row],[DESCRIPCION_POSICION]]</f>
        <v>Operador Especializado Semi Jr. Plantas</v>
      </c>
      <c r="H93" s="22" t="s">
        <v>344</v>
      </c>
      <c r="I93" s="17" t="s">
        <v>40</v>
      </c>
      <c r="J93" s="17" t="s">
        <v>68</v>
      </c>
      <c r="K93" s="17" t="s">
        <v>84</v>
      </c>
      <c r="L93" s="36" t="s">
        <v>330</v>
      </c>
      <c r="M93" s="103"/>
      <c r="N93" s="37" t="s">
        <v>345</v>
      </c>
      <c r="O93" s="36" t="str">
        <f>VLOOKUP(L93,CECOs!A:B,2,0)</f>
        <v>Oper. PTA LBAS</v>
      </c>
      <c r="P93" s="17" t="str">
        <f>VLOOKUP(B:B,CECOs!G:I,3,FALSE)</f>
        <v>OperadordePlantaconvencional</v>
      </c>
      <c r="Q93" s="17" t="str">
        <f>IF(_xlfn.XLOOKUP(L93,CECOs!A:A,CECOs!C:C,"")="",K93,_xlfn.XLOOKUP(L93,CECOs!A:A,CECOs!C:C,""))</f>
        <v>BECHARA, LUCAS ANTONIO</v>
      </c>
      <c r="R93" s="17" t="s">
        <v>38</v>
      </c>
      <c r="S93" s="17" t="s">
        <v>45</v>
      </c>
      <c r="T93" s="17" t="s">
        <v>61</v>
      </c>
      <c r="U93" s="17" t="s">
        <v>217</v>
      </c>
      <c r="V93" s="17" t="s">
        <v>95</v>
      </c>
      <c r="W93" s="17"/>
      <c r="X93" s="17"/>
      <c r="Y93" s="17"/>
      <c r="Z93" s="17"/>
      <c r="AA93" s="17"/>
      <c r="AB93" s="17" t="s">
        <v>49</v>
      </c>
      <c r="AC93" s="17"/>
      <c r="AD93" s="17" t="s">
        <v>50</v>
      </c>
      <c r="AE93" s="17"/>
      <c r="AF93" s="17"/>
      <c r="AG93" s="17"/>
      <c r="AH93" s="17"/>
      <c r="AI93" s="17"/>
      <c r="AJ93" s="17"/>
      <c r="AK93" s="29"/>
    </row>
    <row r="94" spans="1:37" ht="9.9499999999999993">
      <c r="A94" s="29">
        <v>46266</v>
      </c>
      <c r="B94" s="22">
        <v>3392854</v>
      </c>
      <c r="C94" s="17" t="s">
        <v>274</v>
      </c>
      <c r="D94" s="17" t="s">
        <v>38</v>
      </c>
      <c r="E94" s="17" t="s">
        <v>38</v>
      </c>
      <c r="F94" s="17"/>
      <c r="G94" s="17" t="str">
        <f>Table1[[#This Row],[DESCRIPCION_POSICION]]</f>
        <v>Operador Especializado de Plantas</v>
      </c>
      <c r="H94" s="17" t="s">
        <v>346</v>
      </c>
      <c r="I94" s="17" t="s">
        <v>40</v>
      </c>
      <c r="J94" s="17" t="s">
        <v>68</v>
      </c>
      <c r="K94" s="17" t="s">
        <v>84</v>
      </c>
      <c r="L94" s="36" t="s">
        <v>330</v>
      </c>
      <c r="M94" s="103"/>
      <c r="N94" s="38" t="s">
        <v>347</v>
      </c>
      <c r="O94" s="36" t="str">
        <f>VLOOKUP(L94,CECOs!A:B,2,0)</f>
        <v>Oper. PTA LBAS</v>
      </c>
      <c r="P94" s="17" t="str">
        <f>VLOOKUP(B:B,CECOs!G:I,3,FALSE)</f>
        <v>OperadordePlantaconvencional</v>
      </c>
      <c r="Q94" s="17" t="str">
        <f>IF(_xlfn.XLOOKUP(L94,CECOs!A:A,CECOs!C:C,"")="",K94,_xlfn.XLOOKUP(L94,CECOs!A:A,CECOs!C:C,""))</f>
        <v>BECHARA, LUCAS ANTONIO</v>
      </c>
      <c r="R94" s="17" t="s">
        <v>38</v>
      </c>
      <c r="S94" s="17" t="s">
        <v>45</v>
      </c>
      <c r="T94" s="17" t="s">
        <v>61</v>
      </c>
      <c r="U94" s="17" t="s">
        <v>217</v>
      </c>
      <c r="V94" s="17" t="s">
        <v>95</v>
      </c>
      <c r="W94" s="17"/>
      <c r="X94" s="17"/>
      <c r="Y94" s="17"/>
      <c r="Z94" s="17"/>
      <c r="AA94" s="17"/>
      <c r="AB94" s="17" t="s">
        <v>49</v>
      </c>
      <c r="AC94" s="17"/>
      <c r="AD94" s="17" t="s">
        <v>50</v>
      </c>
      <c r="AE94" s="17"/>
      <c r="AF94" s="17"/>
      <c r="AG94" s="17"/>
      <c r="AH94" s="17"/>
      <c r="AI94" s="17"/>
      <c r="AJ94" s="17"/>
      <c r="AK94" s="29"/>
    </row>
    <row r="95" spans="1:37" ht="9.9499999999999993">
      <c r="A95" s="29">
        <v>46266</v>
      </c>
      <c r="B95" s="22">
        <v>3392855</v>
      </c>
      <c r="C95" s="17" t="s">
        <v>274</v>
      </c>
      <c r="D95" s="17" t="s">
        <v>38</v>
      </c>
      <c r="E95" s="17" t="s">
        <v>38</v>
      </c>
      <c r="F95" s="17"/>
      <c r="G95" s="17" t="str">
        <f>Table1[[#This Row],[DESCRIPCION_POSICION]]</f>
        <v>Operador Especializado de Plantas</v>
      </c>
      <c r="H95" s="23" t="s">
        <v>348</v>
      </c>
      <c r="I95" s="17" t="s">
        <v>40</v>
      </c>
      <c r="J95" s="17" t="s">
        <v>68</v>
      </c>
      <c r="K95" s="17" t="s">
        <v>84</v>
      </c>
      <c r="L95" s="36" t="s">
        <v>330</v>
      </c>
      <c r="M95" s="103"/>
      <c r="N95" s="37" t="s">
        <v>349</v>
      </c>
      <c r="O95" s="36" t="str">
        <f>VLOOKUP(L95,CECOs!A:B,2,0)</f>
        <v>Oper. PTA LBAS</v>
      </c>
      <c r="P95" s="17" t="str">
        <f>VLOOKUP(B:B,CECOs!G:I,3,FALSE)</f>
        <v>OperadordePlantaconvencional</v>
      </c>
      <c r="Q95" s="17" t="str">
        <f>IF(_xlfn.XLOOKUP(L95,CECOs!A:A,CECOs!C:C,"")="",K95,_xlfn.XLOOKUP(L95,CECOs!A:A,CECOs!C:C,""))</f>
        <v>BECHARA, LUCAS ANTONIO</v>
      </c>
      <c r="R95" s="17" t="s">
        <v>38</v>
      </c>
      <c r="S95" s="17" t="s">
        <v>45</v>
      </c>
      <c r="T95" s="17" t="s">
        <v>61</v>
      </c>
      <c r="U95" s="17" t="s">
        <v>217</v>
      </c>
      <c r="V95" s="17" t="s">
        <v>95</v>
      </c>
      <c r="W95" s="17"/>
      <c r="X95" s="17"/>
      <c r="Y95" s="17"/>
      <c r="Z95" s="17"/>
      <c r="AA95" s="17"/>
      <c r="AB95" s="17" t="s">
        <v>49</v>
      </c>
      <c r="AC95" s="17"/>
      <c r="AD95" s="17" t="s">
        <v>50</v>
      </c>
      <c r="AE95" s="17"/>
      <c r="AF95" s="17"/>
      <c r="AG95" s="17"/>
      <c r="AH95" s="17"/>
      <c r="AI95" s="17"/>
      <c r="AJ95" s="17"/>
      <c r="AK95" s="29"/>
    </row>
    <row r="96" spans="1:37" ht="9.9499999999999993">
      <c r="A96" s="29">
        <v>46266</v>
      </c>
      <c r="B96" s="22">
        <v>3392856</v>
      </c>
      <c r="C96" s="17" t="s">
        <v>328</v>
      </c>
      <c r="D96" s="17" t="s">
        <v>38</v>
      </c>
      <c r="E96" s="17" t="s">
        <v>38</v>
      </c>
      <c r="F96" s="17"/>
      <c r="G96" s="17" t="str">
        <f>Table1[[#This Row],[DESCRIPCION_POSICION]]</f>
        <v>Operador Especializado Semi Jr. Plantas</v>
      </c>
      <c r="H96" s="17" t="s">
        <v>350</v>
      </c>
      <c r="I96" s="17" t="s">
        <v>40</v>
      </c>
      <c r="J96" s="17" t="s">
        <v>68</v>
      </c>
      <c r="K96" s="17" t="s">
        <v>84</v>
      </c>
      <c r="L96" s="36" t="s">
        <v>330</v>
      </c>
      <c r="M96" s="103"/>
      <c r="N96" s="38" t="s">
        <v>351</v>
      </c>
      <c r="O96" s="36" t="str">
        <f>VLOOKUP(L96,CECOs!A:B,2,0)</f>
        <v>Oper. PTA LBAS</v>
      </c>
      <c r="P96" s="17" t="str">
        <f>VLOOKUP(B:B,CECOs!G:I,3,FALSE)</f>
        <v>OperadordePlantaconvencional</v>
      </c>
      <c r="Q96" s="17" t="str">
        <f>IF(_xlfn.XLOOKUP(L96,CECOs!A:A,CECOs!C:C,"")="",K96,_xlfn.XLOOKUP(L96,CECOs!A:A,CECOs!C:C,""))</f>
        <v>BECHARA, LUCAS ANTONIO</v>
      </c>
      <c r="R96" s="17" t="s">
        <v>38</v>
      </c>
      <c r="S96" s="17" t="s">
        <v>45</v>
      </c>
      <c r="T96" s="17" t="s">
        <v>61</v>
      </c>
      <c r="U96" s="17" t="s">
        <v>217</v>
      </c>
      <c r="V96" s="17" t="s">
        <v>95</v>
      </c>
      <c r="W96" s="17"/>
      <c r="X96" s="17"/>
      <c r="Y96" s="17"/>
      <c r="Z96" s="17"/>
      <c r="AA96" s="17"/>
      <c r="AB96" s="17" t="s">
        <v>49</v>
      </c>
      <c r="AC96" s="17"/>
      <c r="AD96" s="17" t="s">
        <v>50</v>
      </c>
      <c r="AE96" s="17"/>
      <c r="AF96" s="17"/>
      <c r="AG96" s="17"/>
      <c r="AH96" s="17"/>
      <c r="AI96" s="17"/>
      <c r="AJ96" s="17"/>
      <c r="AK96" s="29"/>
    </row>
    <row r="97" spans="1:37" ht="9.9499999999999993">
      <c r="A97" s="29">
        <v>46266</v>
      </c>
      <c r="B97" s="22">
        <v>3392857</v>
      </c>
      <c r="C97" s="17" t="s">
        <v>339</v>
      </c>
      <c r="D97" s="17" t="s">
        <v>38</v>
      </c>
      <c r="E97" s="17" t="s">
        <v>38</v>
      </c>
      <c r="F97" s="17"/>
      <c r="G97" s="17" t="str">
        <f>Table1[[#This Row],[DESCRIPCION_POSICION]]</f>
        <v>Ingresante de Plantas</v>
      </c>
      <c r="H97" s="22" t="s">
        <v>352</v>
      </c>
      <c r="I97" s="17" t="s">
        <v>40</v>
      </c>
      <c r="J97" s="17" t="s">
        <v>68</v>
      </c>
      <c r="K97" s="17" t="s">
        <v>84</v>
      </c>
      <c r="L97" s="36" t="s">
        <v>330</v>
      </c>
      <c r="M97" s="103"/>
      <c r="N97" s="37" t="s">
        <v>353</v>
      </c>
      <c r="O97" s="36" t="str">
        <f>VLOOKUP(L97,CECOs!A:B,2,0)</f>
        <v>Oper. PTA LBAS</v>
      </c>
      <c r="P97" s="17" t="str">
        <f>VLOOKUP(B:B,CECOs!G:I,3,FALSE)</f>
        <v>OperadordePlantaconvencional</v>
      </c>
      <c r="Q97" s="17" t="str">
        <f>IF(_xlfn.XLOOKUP(L97,CECOs!A:A,CECOs!C:C,"")="",K97,_xlfn.XLOOKUP(L97,CECOs!A:A,CECOs!C:C,""))</f>
        <v>BECHARA, LUCAS ANTONIO</v>
      </c>
      <c r="R97" s="17" t="s">
        <v>38</v>
      </c>
      <c r="S97" s="17" t="s">
        <v>45</v>
      </c>
      <c r="T97" s="17" t="s">
        <v>61</v>
      </c>
      <c r="U97" s="17" t="s">
        <v>217</v>
      </c>
      <c r="V97" s="17" t="s">
        <v>95</v>
      </c>
      <c r="W97" s="17"/>
      <c r="X97" s="17"/>
      <c r="Y97" s="17"/>
      <c r="Z97" s="17"/>
      <c r="AA97" s="17"/>
      <c r="AB97" s="17" t="s">
        <v>49</v>
      </c>
      <c r="AC97" s="17"/>
      <c r="AD97" s="17" t="s">
        <v>50</v>
      </c>
      <c r="AE97" s="17"/>
      <c r="AF97" s="17"/>
      <c r="AG97" s="17"/>
      <c r="AH97" s="17"/>
      <c r="AI97" s="17"/>
      <c r="AJ97" s="17"/>
      <c r="AK97" s="29"/>
    </row>
    <row r="98" spans="1:37" ht="9.9499999999999993">
      <c r="A98" s="29">
        <v>46266</v>
      </c>
      <c r="B98" s="22">
        <v>3392858</v>
      </c>
      <c r="C98" s="17" t="s">
        <v>339</v>
      </c>
      <c r="D98" s="17" t="s">
        <v>38</v>
      </c>
      <c r="E98" s="17" t="s">
        <v>38</v>
      </c>
      <c r="F98" s="17"/>
      <c r="G98" s="17" t="str">
        <f>Table1[[#This Row],[DESCRIPCION_POSICION]]</f>
        <v>Ingresante de Plantas</v>
      </c>
      <c r="H98" s="17" t="s">
        <v>354</v>
      </c>
      <c r="I98" s="17" t="s">
        <v>40</v>
      </c>
      <c r="J98" s="17" t="s">
        <v>68</v>
      </c>
      <c r="K98" s="17" t="s">
        <v>84</v>
      </c>
      <c r="L98" s="36" t="s">
        <v>330</v>
      </c>
      <c r="M98" s="103"/>
      <c r="N98" s="38" t="s">
        <v>355</v>
      </c>
      <c r="O98" s="36" t="str">
        <f>VLOOKUP(L98,CECOs!A:B,2,0)</f>
        <v>Oper. PTA LBAS</v>
      </c>
      <c r="P98" s="17" t="str">
        <f>VLOOKUP(B:B,CECOs!G:I,3,FALSE)</f>
        <v>OperadordePlantaconvencional</v>
      </c>
      <c r="Q98" s="17" t="str">
        <f>IF(_xlfn.XLOOKUP(L98,CECOs!A:A,CECOs!C:C,"")="",K98,_xlfn.XLOOKUP(L98,CECOs!A:A,CECOs!C:C,""))</f>
        <v>BECHARA, LUCAS ANTONIO</v>
      </c>
      <c r="R98" s="17" t="s">
        <v>38</v>
      </c>
      <c r="S98" s="17" t="s">
        <v>45</v>
      </c>
      <c r="T98" s="17" t="s">
        <v>61</v>
      </c>
      <c r="U98" s="17" t="s">
        <v>217</v>
      </c>
      <c r="V98" s="17" t="s">
        <v>95</v>
      </c>
      <c r="W98" s="17"/>
      <c r="X98" s="17"/>
      <c r="Y98" s="17"/>
      <c r="Z98" s="17"/>
      <c r="AA98" s="17"/>
      <c r="AB98" s="17" t="s">
        <v>49</v>
      </c>
      <c r="AC98" s="17"/>
      <c r="AD98" s="17" t="s">
        <v>50</v>
      </c>
      <c r="AE98" s="17"/>
      <c r="AF98" s="17"/>
      <c r="AG98" s="17"/>
      <c r="AH98" s="17"/>
      <c r="AI98" s="17"/>
      <c r="AJ98" s="17"/>
      <c r="AK98" s="29"/>
    </row>
    <row r="99" spans="1:37" ht="9.9499999999999993">
      <c r="A99" s="29">
        <v>46266</v>
      </c>
      <c r="B99" s="22">
        <v>3392859</v>
      </c>
      <c r="C99" s="17" t="s">
        <v>274</v>
      </c>
      <c r="D99" s="17" t="s">
        <v>38</v>
      </c>
      <c r="E99" s="17" t="s">
        <v>38</v>
      </c>
      <c r="F99" s="17"/>
      <c r="G99" s="17" t="str">
        <f>Table1[[#This Row],[DESCRIPCION_POSICION]]</f>
        <v>Operador Especializado de Plantas</v>
      </c>
      <c r="H99" s="22" t="s">
        <v>356</v>
      </c>
      <c r="I99" s="17" t="s">
        <v>40</v>
      </c>
      <c r="J99" s="17" t="s">
        <v>68</v>
      </c>
      <c r="K99" s="17" t="s">
        <v>84</v>
      </c>
      <c r="L99" s="36" t="s">
        <v>330</v>
      </c>
      <c r="M99" s="103"/>
      <c r="N99" s="37" t="s">
        <v>357</v>
      </c>
      <c r="O99" s="36" t="str">
        <f>VLOOKUP(L99,CECOs!A:B,2,0)</f>
        <v>Oper. PTA LBAS</v>
      </c>
      <c r="P99" s="17" t="str">
        <f>VLOOKUP(B:B,CECOs!G:I,3,FALSE)</f>
        <v>OperadordePlantaconvencional</v>
      </c>
      <c r="Q99" s="17" t="str">
        <f>IF(_xlfn.XLOOKUP(L99,CECOs!A:A,CECOs!C:C,"")="",K99,_xlfn.XLOOKUP(L99,CECOs!A:A,CECOs!C:C,""))</f>
        <v>BECHARA, LUCAS ANTONIO</v>
      </c>
      <c r="R99" s="17" t="s">
        <v>38</v>
      </c>
      <c r="S99" s="17" t="s">
        <v>45</v>
      </c>
      <c r="T99" s="17" t="s">
        <v>61</v>
      </c>
      <c r="U99" s="17" t="s">
        <v>217</v>
      </c>
      <c r="V99" s="17" t="s">
        <v>95</v>
      </c>
      <c r="W99" s="17"/>
      <c r="X99" s="17"/>
      <c r="Y99" s="17"/>
      <c r="Z99" s="17"/>
      <c r="AA99" s="17"/>
      <c r="AB99" s="17" t="s">
        <v>49</v>
      </c>
      <c r="AC99" s="17"/>
      <c r="AD99" s="17" t="s">
        <v>50</v>
      </c>
      <c r="AE99" s="17"/>
      <c r="AF99" s="17"/>
      <c r="AG99" s="17"/>
      <c r="AH99" s="17"/>
      <c r="AI99" s="17"/>
      <c r="AJ99" s="17"/>
      <c r="AK99" s="29"/>
    </row>
    <row r="100" spans="1:37" ht="9.9499999999999993">
      <c r="A100" s="29">
        <v>46266</v>
      </c>
      <c r="B100" s="22">
        <v>3392860</v>
      </c>
      <c r="C100" s="17" t="s">
        <v>339</v>
      </c>
      <c r="D100" s="17" t="s">
        <v>38</v>
      </c>
      <c r="E100" s="17" t="s">
        <v>38</v>
      </c>
      <c r="F100" s="17"/>
      <c r="G100" s="17" t="str">
        <f>Table1[[#This Row],[DESCRIPCION_POSICION]]</f>
        <v>Ingresante de Plantas</v>
      </c>
      <c r="H100" s="17" t="s">
        <v>358</v>
      </c>
      <c r="I100" s="17" t="s">
        <v>40</v>
      </c>
      <c r="J100" s="17" t="s">
        <v>68</v>
      </c>
      <c r="K100" s="17" t="s">
        <v>84</v>
      </c>
      <c r="L100" s="36" t="s">
        <v>359</v>
      </c>
      <c r="M100" s="103"/>
      <c r="N100" s="38" t="s">
        <v>360</v>
      </c>
      <c r="O100" s="36" t="str">
        <f>VLOOKUP(L100,CECOs!A:B,2,0)</f>
        <v>Tareas Generales Prod LBAS</v>
      </c>
      <c r="P100" s="17" t="str">
        <f>VLOOKUP(B:B,CECOs!G:I,3,FALSE)</f>
        <v>Relevomantenimiento</v>
      </c>
      <c r="Q100" s="17" t="str">
        <f>IF(_xlfn.XLOOKUP(L100,CECOs!A:A,CECOs!C:C,"")="",K100,_xlfn.XLOOKUP(L100,CECOs!A:A,CECOs!C:C,""))</f>
        <v>BECHARA, LUCAS ANTONIO</v>
      </c>
      <c r="R100" s="17" t="s">
        <v>38</v>
      </c>
      <c r="S100" s="17" t="s">
        <v>45</v>
      </c>
      <c r="T100" s="17" t="s">
        <v>61</v>
      </c>
      <c r="U100" s="17" t="s">
        <v>217</v>
      </c>
      <c r="V100" s="17" t="s">
        <v>95</v>
      </c>
      <c r="W100" s="17"/>
      <c r="X100" s="17"/>
      <c r="Y100" s="17"/>
      <c r="Z100" s="17"/>
      <c r="AA100" s="17"/>
      <c r="AB100" s="17" t="s">
        <v>49</v>
      </c>
      <c r="AC100" s="17"/>
      <c r="AD100" s="17" t="s">
        <v>50</v>
      </c>
      <c r="AE100" s="17"/>
      <c r="AF100" s="17"/>
      <c r="AG100" s="17"/>
      <c r="AH100" s="17"/>
      <c r="AI100" s="17"/>
      <c r="AJ100" s="17"/>
      <c r="AK100" s="29"/>
    </row>
    <row r="101" spans="1:37" ht="9.9499999999999993">
      <c r="A101" s="29">
        <v>46266</v>
      </c>
      <c r="B101" s="22">
        <v>3392861</v>
      </c>
      <c r="C101" s="17" t="s">
        <v>339</v>
      </c>
      <c r="D101" s="17" t="s">
        <v>38</v>
      </c>
      <c r="E101" s="17" t="s">
        <v>38</v>
      </c>
      <c r="F101" s="17"/>
      <c r="G101" s="17" t="str">
        <f>Table1[[#This Row],[DESCRIPCION_POSICION]]</f>
        <v>Ingresante de Plantas</v>
      </c>
      <c r="H101" s="17" t="s">
        <v>361</v>
      </c>
      <c r="I101" s="17" t="s">
        <v>40</v>
      </c>
      <c r="J101" s="17" t="s">
        <v>68</v>
      </c>
      <c r="K101" s="17" t="s">
        <v>84</v>
      </c>
      <c r="L101" s="36" t="s">
        <v>359</v>
      </c>
      <c r="M101" s="108"/>
      <c r="N101" s="38" t="s">
        <v>362</v>
      </c>
      <c r="O101" s="36" t="str">
        <f>VLOOKUP(L101,CECOs!A:B,2,0)</f>
        <v>Tareas Generales Prod LBAS</v>
      </c>
      <c r="P101" s="17" t="str">
        <f>VLOOKUP(B:B,CECOs!G:I,3,FALSE)</f>
        <v>TareasgeneralesLBAS</v>
      </c>
      <c r="Q101" s="17" t="str">
        <f>IF(_xlfn.XLOOKUP(L101,CECOs!A:A,CECOs!C:C,"")="",K101,_xlfn.XLOOKUP(L101,CECOs!A:A,CECOs!C:C,""))</f>
        <v>BECHARA, LUCAS ANTONIO</v>
      </c>
      <c r="R101" s="17" t="s">
        <v>38</v>
      </c>
      <c r="S101" s="17" t="s">
        <v>45</v>
      </c>
      <c r="T101" s="17" t="s">
        <v>61</v>
      </c>
      <c r="U101" s="17" t="s">
        <v>217</v>
      </c>
      <c r="V101" s="17" t="s">
        <v>95</v>
      </c>
      <c r="W101" s="17"/>
      <c r="X101" s="17"/>
      <c r="Y101" s="17"/>
      <c r="Z101" s="17"/>
      <c r="AA101" s="17"/>
      <c r="AB101" s="17" t="s">
        <v>49</v>
      </c>
      <c r="AC101" s="17"/>
      <c r="AD101" s="17" t="s">
        <v>50</v>
      </c>
      <c r="AE101" s="17"/>
      <c r="AF101" s="17"/>
      <c r="AG101" s="17"/>
      <c r="AH101" s="17"/>
      <c r="AI101" s="17"/>
      <c r="AJ101" s="17"/>
      <c r="AK101" s="29"/>
    </row>
    <row r="102" spans="1:37" ht="9.9499999999999993">
      <c r="A102" s="29">
        <v>46266</v>
      </c>
      <c r="B102" s="22">
        <v>3392862</v>
      </c>
      <c r="C102" s="17" t="s">
        <v>363</v>
      </c>
      <c r="D102" s="17" t="s">
        <v>38</v>
      </c>
      <c r="E102" s="17" t="s">
        <v>38</v>
      </c>
      <c r="F102" s="17"/>
      <c r="G102" s="17" t="str">
        <f>Table1[[#This Row],[DESCRIPCION_POSICION]]</f>
        <v>Ayudante de Plantas</v>
      </c>
      <c r="H102" s="17" t="s">
        <v>364</v>
      </c>
      <c r="I102" s="17" t="s">
        <v>40</v>
      </c>
      <c r="J102" s="17" t="s">
        <v>68</v>
      </c>
      <c r="K102" s="17" t="s">
        <v>84</v>
      </c>
      <c r="L102" s="36" t="s">
        <v>365</v>
      </c>
      <c r="M102" s="103"/>
      <c r="N102" s="38" t="s">
        <v>366</v>
      </c>
      <c r="O102" s="36" t="str">
        <f>VLOOKUP(L102,CECOs!A:B,2,0)</f>
        <v>T. Grales Serge PRR</v>
      </c>
      <c r="P102" s="17" t="str">
        <f>VLOOKUP(B:B,CECOs!G:I,3,FALSE)</f>
        <v>Serviciosgenerales</v>
      </c>
      <c r="Q102" s="17" t="str">
        <f>IF(_xlfn.XLOOKUP(L102,CECOs!A:A,CECOs!C:C,"")="",K102,_xlfn.XLOOKUP(L102,CECOs!A:A,CECOs!C:C,""))</f>
        <v>BECHARA, LUCAS ANTONIO</v>
      </c>
      <c r="R102" s="17" t="s">
        <v>38</v>
      </c>
      <c r="S102" s="17" t="s">
        <v>45</v>
      </c>
      <c r="T102" s="17" t="s">
        <v>61</v>
      </c>
      <c r="U102" s="17" t="s">
        <v>143</v>
      </c>
      <c r="V102" s="17" t="s">
        <v>95</v>
      </c>
      <c r="W102" s="17"/>
      <c r="X102" s="17"/>
      <c r="Y102" s="17"/>
      <c r="Z102" s="17"/>
      <c r="AA102" s="17"/>
      <c r="AB102" s="17" t="s">
        <v>49</v>
      </c>
      <c r="AC102" s="17"/>
      <c r="AD102" s="17" t="s">
        <v>50</v>
      </c>
      <c r="AE102" s="17"/>
      <c r="AF102" s="17"/>
      <c r="AG102" s="17"/>
      <c r="AH102" s="17"/>
      <c r="AI102" s="17"/>
      <c r="AJ102" s="17"/>
      <c r="AK102" s="29"/>
    </row>
    <row r="103" spans="1:37" ht="9.9499999999999993">
      <c r="A103" s="29">
        <v>46266</v>
      </c>
      <c r="B103" s="22">
        <v>3392863</v>
      </c>
      <c r="C103" s="17" t="s">
        <v>367</v>
      </c>
      <c r="D103" s="17" t="s">
        <v>38</v>
      </c>
      <c r="E103" s="17" t="s">
        <v>38</v>
      </c>
      <c r="F103" s="17"/>
      <c r="G103" s="17" t="str">
        <f>Table1[[#This Row],[DESCRIPCION_POSICION]]</f>
        <v>Administrativo de Almacén</v>
      </c>
      <c r="H103" s="17" t="s">
        <v>368</v>
      </c>
      <c r="I103" s="17" t="s">
        <v>40</v>
      </c>
      <c r="J103" s="17" t="s">
        <v>68</v>
      </c>
      <c r="K103" s="17" t="s">
        <v>86</v>
      </c>
      <c r="L103" s="36" t="s">
        <v>369</v>
      </c>
      <c r="M103" s="103"/>
      <c r="N103" s="88" t="s">
        <v>370</v>
      </c>
      <c r="O103" s="36" t="str">
        <f>VLOOKUP(L103,CECOs!A:B,2,0)</f>
        <v>Aux. Almacén FP</v>
      </c>
      <c r="P103" s="17" t="str">
        <f>VLOOKUP(B:B,CECOs!G:I,3,FALSE)</f>
        <v>AlmacenNoconvencional</v>
      </c>
      <c r="Q103" s="17" t="str">
        <f>IF(_xlfn.XLOOKUP(L103,CECOs!A:A,CECOs!C:C,"")="",K103,_xlfn.XLOOKUP(L103,CECOs!A:A,CECOs!C:C,""))</f>
        <v>CASAL, GUSTAVO</v>
      </c>
      <c r="R103" s="17" t="s">
        <v>38</v>
      </c>
      <c r="S103" s="17" t="s">
        <v>45</v>
      </c>
      <c r="T103" s="17" t="s">
        <v>61</v>
      </c>
      <c r="U103" s="17" t="s">
        <v>371</v>
      </c>
      <c r="V103" s="17" t="s">
        <v>95</v>
      </c>
      <c r="W103" s="17"/>
      <c r="X103" s="17"/>
      <c r="Y103" s="17"/>
      <c r="Z103" s="17"/>
      <c r="AA103" s="17"/>
      <c r="AB103" s="17" t="s">
        <v>49</v>
      </c>
      <c r="AC103" s="17"/>
      <c r="AD103" s="17" t="s">
        <v>50</v>
      </c>
      <c r="AE103" s="17"/>
      <c r="AF103" s="17"/>
      <c r="AG103" s="17"/>
      <c r="AH103" s="17"/>
      <c r="AI103" s="17"/>
      <c r="AJ103" s="17"/>
      <c r="AK103" s="29"/>
    </row>
    <row r="104" spans="1:37" ht="9.9499999999999993">
      <c r="A104" s="29">
        <v>46266</v>
      </c>
      <c r="B104" s="22">
        <v>3392864</v>
      </c>
      <c r="C104" s="17" t="s">
        <v>372</v>
      </c>
      <c r="D104" s="17" t="s">
        <v>38</v>
      </c>
      <c r="E104" s="17" t="s">
        <v>38</v>
      </c>
      <c r="F104" s="17"/>
      <c r="G104" s="17" t="str">
        <f>Table1[[#This Row],[DESCRIPCION_POSICION]]</f>
        <v>Ayudante de Almacén</v>
      </c>
      <c r="H104" s="17" t="s">
        <v>373</v>
      </c>
      <c r="I104" s="17" t="s">
        <v>40</v>
      </c>
      <c r="J104" s="17" t="s">
        <v>68</v>
      </c>
      <c r="K104" s="17" t="s">
        <v>86</v>
      </c>
      <c r="L104" s="36" t="s">
        <v>369</v>
      </c>
      <c r="N104" s="88" t="s">
        <v>374</v>
      </c>
      <c r="O104" s="36" t="str">
        <f>VLOOKUP(L104,CECOs!A:B,2,0)</f>
        <v>Aux. Almacén FP</v>
      </c>
      <c r="P104" s="17" t="str">
        <f>VLOOKUP(B:B,CECOs!G:I,3,FALSE)</f>
        <v>AlmacenNoconvencional</v>
      </c>
      <c r="Q104" s="17" t="str">
        <f>IF(_xlfn.XLOOKUP(L104,CECOs!A:A,CECOs!C:C,"")="",K104,_xlfn.XLOOKUP(L104,CECOs!A:A,CECOs!C:C,""))</f>
        <v>CASAL, GUSTAVO</v>
      </c>
      <c r="R104" s="17" t="s">
        <v>38</v>
      </c>
      <c r="S104" s="17" t="s">
        <v>45</v>
      </c>
      <c r="T104" s="17" t="s">
        <v>61</v>
      </c>
      <c r="U104" s="17" t="s">
        <v>371</v>
      </c>
      <c r="V104" s="17" t="s">
        <v>95</v>
      </c>
      <c r="W104" s="17"/>
      <c r="X104" s="17"/>
      <c r="Y104" s="17"/>
      <c r="Z104" s="17"/>
      <c r="AA104" s="17"/>
      <c r="AB104" s="17" t="s">
        <v>49</v>
      </c>
      <c r="AC104" s="17"/>
      <c r="AD104" s="17" t="s">
        <v>50</v>
      </c>
      <c r="AE104" s="17"/>
      <c r="AF104" s="17"/>
      <c r="AG104" s="17"/>
      <c r="AH104" s="17"/>
      <c r="AI104" s="17"/>
      <c r="AJ104" s="17"/>
      <c r="AK104" s="29"/>
    </row>
    <row r="105" spans="1:37" ht="9.9499999999999993">
      <c r="A105" s="29">
        <v>46266</v>
      </c>
      <c r="B105" s="22">
        <v>3392865</v>
      </c>
      <c r="C105" s="17" t="s">
        <v>213</v>
      </c>
      <c r="D105" s="17" t="s">
        <v>38</v>
      </c>
      <c r="E105" s="17" t="s">
        <v>38</v>
      </c>
      <c r="F105" s="17"/>
      <c r="G105" s="17" t="str">
        <f>Table1[[#This Row],[DESCRIPCION_POSICION]]</f>
        <v>Recorredor Especializado</v>
      </c>
      <c r="H105" s="17" t="s">
        <v>375</v>
      </c>
      <c r="I105" s="17" t="s">
        <v>40</v>
      </c>
      <c r="J105" s="17" t="s">
        <v>68</v>
      </c>
      <c r="K105" s="17" t="s">
        <v>84</v>
      </c>
      <c r="L105" s="36" t="s">
        <v>215</v>
      </c>
      <c r="M105" s="103"/>
      <c r="N105" s="38" t="s">
        <v>376</v>
      </c>
      <c r="O105" s="36" t="str">
        <f>VLOOKUP(L105,CECOs!A:B,2,0)</f>
        <v>Oper campo LBAS</v>
      </c>
      <c r="P105" s="17" t="str">
        <f>VLOOKUP(B:B,CECOs!G:I,3,FALSE)</f>
        <v>OperadordeCampo</v>
      </c>
      <c r="Q105" s="17" t="str">
        <f>IF(_xlfn.XLOOKUP(L105,CECOs!A:A,CECOs!C:C,"")="",K105,_xlfn.XLOOKUP(L105,CECOs!A:A,CECOs!C:C,""))</f>
        <v>BECHARA, LUCAS ANTONIO</v>
      </c>
      <c r="R105" s="17" t="s">
        <v>38</v>
      </c>
      <c r="S105" s="17" t="s">
        <v>45</v>
      </c>
      <c r="T105" s="17" t="s">
        <v>61</v>
      </c>
      <c r="U105" s="17" t="s">
        <v>217</v>
      </c>
      <c r="V105" s="17" t="s">
        <v>95</v>
      </c>
      <c r="W105" s="17"/>
      <c r="X105" s="17"/>
      <c r="Y105" s="17"/>
      <c r="Z105" s="17"/>
      <c r="AA105" s="17"/>
      <c r="AB105" s="17" t="s">
        <v>49</v>
      </c>
      <c r="AC105" s="17"/>
      <c r="AD105" s="17" t="s">
        <v>50</v>
      </c>
      <c r="AE105" s="17"/>
      <c r="AF105" s="17"/>
      <c r="AG105" s="17"/>
      <c r="AH105" s="17"/>
      <c r="AI105" s="17"/>
      <c r="AJ105" s="17"/>
      <c r="AK105" s="29"/>
    </row>
    <row r="106" spans="1:37" ht="9.9499999999999993">
      <c r="A106" s="29">
        <v>46266</v>
      </c>
      <c r="B106" s="22">
        <v>3392866</v>
      </c>
      <c r="C106" s="17" t="s">
        <v>213</v>
      </c>
      <c r="D106" s="17" t="s">
        <v>38</v>
      </c>
      <c r="E106" s="17" t="s">
        <v>38</v>
      </c>
      <c r="F106" s="17"/>
      <c r="G106" s="17" t="str">
        <f>Table1[[#This Row],[DESCRIPCION_POSICION]]</f>
        <v>Recorredor Especializado</v>
      </c>
      <c r="H106" s="17" t="s">
        <v>377</v>
      </c>
      <c r="I106" s="17" t="s">
        <v>40</v>
      </c>
      <c r="J106" s="17" t="s">
        <v>68</v>
      </c>
      <c r="K106" s="17" t="s">
        <v>84</v>
      </c>
      <c r="L106" s="36" t="s">
        <v>215</v>
      </c>
      <c r="M106" s="103"/>
      <c r="N106" s="38" t="s">
        <v>378</v>
      </c>
      <c r="O106" s="36" t="str">
        <f>VLOOKUP(L106,CECOs!A:B,2,0)</f>
        <v>Oper campo LBAS</v>
      </c>
      <c r="P106" s="17" t="str">
        <f>VLOOKUP(B:B,CECOs!G:I,3,FALSE)</f>
        <v>OperadordeCampo</v>
      </c>
      <c r="Q106" s="17" t="str">
        <f>IF(_xlfn.XLOOKUP(L106,CECOs!A:A,CECOs!C:C,"")="",K106,_xlfn.XLOOKUP(L106,CECOs!A:A,CECOs!C:C,""))</f>
        <v>BECHARA, LUCAS ANTONIO</v>
      </c>
      <c r="R106" s="17" t="s">
        <v>38</v>
      </c>
      <c r="S106" s="17" t="s">
        <v>45</v>
      </c>
      <c r="T106" s="17" t="s">
        <v>61</v>
      </c>
      <c r="U106" s="17" t="s">
        <v>217</v>
      </c>
      <c r="V106" s="17" t="s">
        <v>95</v>
      </c>
      <c r="W106" s="17"/>
      <c r="X106" s="17"/>
      <c r="Y106" s="17"/>
      <c r="Z106" s="17"/>
      <c r="AA106" s="17"/>
      <c r="AB106" s="17" t="s">
        <v>49</v>
      </c>
      <c r="AC106" s="17"/>
      <c r="AD106" s="17" t="s">
        <v>50</v>
      </c>
      <c r="AE106" s="17"/>
      <c r="AF106" s="17"/>
      <c r="AG106" s="17"/>
      <c r="AH106" s="17"/>
      <c r="AI106" s="17"/>
      <c r="AJ106" s="17"/>
      <c r="AK106" s="29"/>
    </row>
    <row r="107" spans="1:37" ht="9.9499999999999993">
      <c r="A107" s="29">
        <v>46266</v>
      </c>
      <c r="B107" s="22">
        <v>3392867</v>
      </c>
      <c r="C107" s="17" t="s">
        <v>213</v>
      </c>
      <c r="D107" s="17" t="s">
        <v>38</v>
      </c>
      <c r="E107" s="17" t="s">
        <v>38</v>
      </c>
      <c r="F107" s="17"/>
      <c r="G107" s="17" t="str">
        <f>Table1[[#This Row],[DESCRIPCION_POSICION]]</f>
        <v>Recorredor Especializado</v>
      </c>
      <c r="H107" s="17" t="s">
        <v>379</v>
      </c>
      <c r="I107" s="17" t="s">
        <v>40</v>
      </c>
      <c r="J107" s="17" t="s">
        <v>68</v>
      </c>
      <c r="K107" s="17" t="s">
        <v>84</v>
      </c>
      <c r="L107" s="36" t="s">
        <v>215</v>
      </c>
      <c r="M107" s="103"/>
      <c r="N107" s="38" t="s">
        <v>380</v>
      </c>
      <c r="O107" s="36" t="str">
        <f>VLOOKUP(L107,CECOs!A:B,2,0)</f>
        <v>Oper campo LBAS</v>
      </c>
      <c r="P107" s="17" t="str">
        <f>VLOOKUP(B:B,CECOs!G:I,3,FALSE)</f>
        <v>OperadordeCampo</v>
      </c>
      <c r="Q107" s="17" t="str">
        <f>IF(_xlfn.XLOOKUP(L107,CECOs!A:A,CECOs!C:C,"")="",K107,_xlfn.XLOOKUP(L107,CECOs!A:A,CECOs!C:C,""))</f>
        <v>BECHARA, LUCAS ANTONIO</v>
      </c>
      <c r="R107" s="17" t="s">
        <v>38</v>
      </c>
      <c r="S107" s="17" t="s">
        <v>45</v>
      </c>
      <c r="T107" s="17" t="s">
        <v>61</v>
      </c>
      <c r="U107" s="17" t="s">
        <v>217</v>
      </c>
      <c r="V107" s="17" t="s">
        <v>95</v>
      </c>
      <c r="W107" s="17"/>
      <c r="X107" s="17"/>
      <c r="Y107" s="17"/>
      <c r="Z107" s="17"/>
      <c r="AA107" s="17"/>
      <c r="AB107" s="17" t="s">
        <v>49</v>
      </c>
      <c r="AC107" s="17"/>
      <c r="AD107" s="17" t="s">
        <v>50</v>
      </c>
      <c r="AE107" s="17"/>
      <c r="AF107" s="17"/>
      <c r="AG107" s="17"/>
      <c r="AH107" s="17"/>
      <c r="AI107" s="17"/>
      <c r="AJ107" s="17"/>
      <c r="AK107" s="29"/>
    </row>
    <row r="108" spans="1:37" ht="9.9499999999999993">
      <c r="A108" s="29">
        <v>46266</v>
      </c>
      <c r="B108" s="22">
        <v>3427236</v>
      </c>
      <c r="C108" s="17" t="s">
        <v>144</v>
      </c>
      <c r="D108" s="17" t="s">
        <v>38</v>
      </c>
      <c r="E108" s="17" t="s">
        <v>38</v>
      </c>
      <c r="F108" s="17"/>
      <c r="G108" s="17" t="str">
        <f>Table1[[#This Row],[DESCRIPCION_POSICION]]</f>
        <v>HSE Sr. Supervisor</v>
      </c>
      <c r="H108" s="17" t="s">
        <v>381</v>
      </c>
      <c r="I108" s="17" t="s">
        <v>40</v>
      </c>
      <c r="J108" s="17" t="s">
        <v>68</v>
      </c>
      <c r="K108" s="17" t="s">
        <v>296</v>
      </c>
      <c r="L108" s="36" t="s">
        <v>147</v>
      </c>
      <c r="M108" s="103"/>
      <c r="N108" s="38" t="s">
        <v>382</v>
      </c>
      <c r="O108" s="36" t="str">
        <f>VLOOKUP(L108,CECOs!A:B,2,0)</f>
        <v>SAS PRR</v>
      </c>
      <c r="P108" s="17" t="str">
        <f>VLOOKUP(B:B,CECOs!G:I,3,FALSE)</f>
        <v>SupervisoresSAS/OT</v>
      </c>
      <c r="Q108" s="17" t="str">
        <f>IF(_xlfn.XLOOKUP(L108,CECOs!A:A,CECOs!C:C,"")="",K108,_xlfn.XLOOKUP(L108,CECOs!A:A,CECOs!C:C,""))</f>
        <v>Vicencio Cecilia Stefania</v>
      </c>
      <c r="R108" s="17" t="s">
        <v>38</v>
      </c>
      <c r="S108" s="17" t="s">
        <v>45</v>
      </c>
      <c r="T108" s="17" t="s">
        <v>149</v>
      </c>
      <c r="U108" s="17" t="s">
        <v>150</v>
      </c>
      <c r="V108" s="17" t="s">
        <v>48</v>
      </c>
      <c r="W108" s="17"/>
      <c r="X108" s="17"/>
      <c r="Y108" s="17"/>
      <c r="Z108" s="17"/>
      <c r="AA108" s="17"/>
      <c r="AB108" s="17" t="s">
        <v>49</v>
      </c>
      <c r="AC108" s="17"/>
      <c r="AD108" s="17" t="s">
        <v>50</v>
      </c>
      <c r="AE108" s="17"/>
      <c r="AF108" s="17"/>
      <c r="AG108" s="17"/>
      <c r="AH108" s="17"/>
      <c r="AI108" s="17"/>
      <c r="AJ108" s="17"/>
      <c r="AK108" s="29"/>
    </row>
    <row r="109" spans="1:37" ht="9.9499999999999993">
      <c r="A109" s="29">
        <v>46266</v>
      </c>
      <c r="B109" s="22">
        <v>3392869</v>
      </c>
      <c r="C109" s="17" t="s">
        <v>383</v>
      </c>
      <c r="D109" s="17" t="s">
        <v>38</v>
      </c>
      <c r="E109" s="17" t="s">
        <v>38</v>
      </c>
      <c r="F109" s="17"/>
      <c r="G109" s="17" t="str">
        <f>Table1[[#This Row],[DESCRIPCION_POSICION]]</f>
        <v>Recorredor</v>
      </c>
      <c r="H109" s="17" t="s">
        <v>384</v>
      </c>
      <c r="I109" s="17" t="s">
        <v>40</v>
      </c>
      <c r="J109" s="17" t="s">
        <v>68</v>
      </c>
      <c r="K109" s="17" t="s">
        <v>84</v>
      </c>
      <c r="L109" s="36" t="s">
        <v>215</v>
      </c>
      <c r="M109" s="103"/>
      <c r="N109" s="38" t="s">
        <v>385</v>
      </c>
      <c r="O109" s="36" t="str">
        <f>VLOOKUP(L109,CECOs!A:B,2,0)</f>
        <v>Oper campo LBAS</v>
      </c>
      <c r="P109" s="17" t="str">
        <f>VLOOKUP(B:B,CECOs!G:I,3,FALSE)</f>
        <v>OperadordeCampo</v>
      </c>
      <c r="Q109" s="17" t="str">
        <f>IF(_xlfn.XLOOKUP(L109,CECOs!A:A,CECOs!C:C,"")="",K109,_xlfn.XLOOKUP(L109,CECOs!A:A,CECOs!C:C,""))</f>
        <v>BECHARA, LUCAS ANTONIO</v>
      </c>
      <c r="R109" s="17" t="s">
        <v>38</v>
      </c>
      <c r="S109" s="17" t="s">
        <v>45</v>
      </c>
      <c r="T109" s="17" t="s">
        <v>61</v>
      </c>
      <c r="U109" s="17" t="s">
        <v>217</v>
      </c>
      <c r="V109" s="17" t="s">
        <v>95</v>
      </c>
      <c r="W109" s="17"/>
      <c r="X109" s="17"/>
      <c r="Y109" s="17"/>
      <c r="Z109" s="17"/>
      <c r="AA109" s="17"/>
      <c r="AB109" s="17" t="s">
        <v>49</v>
      </c>
      <c r="AC109" s="17"/>
      <c r="AD109" s="17" t="s">
        <v>50</v>
      </c>
      <c r="AE109" s="17"/>
      <c r="AF109" s="17"/>
      <c r="AG109" s="17"/>
      <c r="AH109" s="17"/>
      <c r="AI109" s="17"/>
      <c r="AJ109" s="17"/>
      <c r="AK109" s="29"/>
    </row>
    <row r="110" spans="1:37" ht="9.9499999999999993">
      <c r="A110" s="29">
        <v>46266</v>
      </c>
      <c r="B110" s="22">
        <v>3392870</v>
      </c>
      <c r="C110" s="17" t="s">
        <v>213</v>
      </c>
      <c r="D110" s="17" t="s">
        <v>38</v>
      </c>
      <c r="E110" s="17" t="s">
        <v>38</v>
      </c>
      <c r="F110" s="17"/>
      <c r="G110" s="17" t="str">
        <f>Table1[[#This Row],[DESCRIPCION_POSICION]]</f>
        <v>Recorredor Especializado</v>
      </c>
      <c r="H110" s="17" t="s">
        <v>386</v>
      </c>
      <c r="I110" s="17" t="s">
        <v>40</v>
      </c>
      <c r="J110" s="17" t="s">
        <v>68</v>
      </c>
      <c r="K110" s="17" t="s">
        <v>84</v>
      </c>
      <c r="L110" s="36" t="s">
        <v>215</v>
      </c>
      <c r="M110" s="103"/>
      <c r="N110" s="38" t="s">
        <v>387</v>
      </c>
      <c r="O110" s="36" t="str">
        <f>VLOOKUP(L110,CECOs!A:B,2,0)</f>
        <v>Oper campo LBAS</v>
      </c>
      <c r="P110" s="17" t="str">
        <f>VLOOKUP(B:B,CECOs!G:I,3,FALSE)</f>
        <v>OperadordeCampo</v>
      </c>
      <c r="Q110" s="17" t="str">
        <f>IF(_xlfn.XLOOKUP(L110,CECOs!A:A,CECOs!C:C,"")="",K110,_xlfn.XLOOKUP(L110,CECOs!A:A,CECOs!C:C,""))</f>
        <v>BECHARA, LUCAS ANTONIO</v>
      </c>
      <c r="R110" s="17" t="s">
        <v>38</v>
      </c>
      <c r="S110" s="17" t="s">
        <v>45</v>
      </c>
      <c r="T110" s="17" t="s">
        <v>61</v>
      </c>
      <c r="U110" s="17" t="s">
        <v>217</v>
      </c>
      <c r="V110" s="17" t="s">
        <v>95</v>
      </c>
      <c r="W110" s="17"/>
      <c r="X110" s="17"/>
      <c r="Y110" s="17"/>
      <c r="Z110" s="17"/>
      <c r="AA110" s="17"/>
      <c r="AB110" s="17" t="s">
        <v>49</v>
      </c>
      <c r="AC110" s="17"/>
      <c r="AD110" s="17" t="s">
        <v>50</v>
      </c>
      <c r="AE110" s="17"/>
      <c r="AF110" s="17"/>
      <c r="AG110" s="17"/>
      <c r="AH110" s="17"/>
      <c r="AI110" s="17"/>
      <c r="AJ110" s="17"/>
      <c r="AK110" s="29"/>
    </row>
    <row r="111" spans="1:37" ht="9.75" customHeight="1">
      <c r="A111" s="29">
        <v>46266</v>
      </c>
      <c r="B111" s="22">
        <v>3392871</v>
      </c>
      <c r="C111" s="17" t="s">
        <v>388</v>
      </c>
      <c r="D111" s="17" t="s">
        <v>38</v>
      </c>
      <c r="E111" s="17" t="s">
        <v>38</v>
      </c>
      <c r="F111" s="17"/>
      <c r="G111" s="17" t="str">
        <f>Table1[[#This Row],[DESCRIPCION_POSICION]]</f>
        <v>Recorredor Semi Jr.</v>
      </c>
      <c r="H111" s="33" t="s">
        <v>389</v>
      </c>
      <c r="I111" s="17" t="s">
        <v>40</v>
      </c>
      <c r="J111" s="17" t="s">
        <v>68</v>
      </c>
      <c r="K111" s="17" t="s">
        <v>84</v>
      </c>
      <c r="L111" s="36" t="s">
        <v>215</v>
      </c>
      <c r="M111" s="103"/>
      <c r="N111" s="38" t="s">
        <v>390</v>
      </c>
      <c r="O111" s="36" t="str">
        <f>VLOOKUP(L111,CECOs!A:B,2,0)</f>
        <v>Oper campo LBAS</v>
      </c>
      <c r="P111" s="17" t="str">
        <f>VLOOKUP(B:B,CECOs!G:I,3,FALSE)</f>
        <v>OperadordeCampo</v>
      </c>
      <c r="Q111" s="17" t="str">
        <f>IF(_xlfn.XLOOKUP(L111,CECOs!A:A,CECOs!C:C,"")="",K111,_xlfn.XLOOKUP(L111,CECOs!A:A,CECOs!C:C,""))</f>
        <v>BECHARA, LUCAS ANTONIO</v>
      </c>
      <c r="R111" s="17" t="s">
        <v>38</v>
      </c>
      <c r="S111" s="17" t="s">
        <v>45</v>
      </c>
      <c r="T111" s="17" t="s">
        <v>61</v>
      </c>
      <c r="U111" s="17" t="s">
        <v>217</v>
      </c>
      <c r="V111" s="17" t="s">
        <v>95</v>
      </c>
      <c r="W111" s="17"/>
      <c r="X111" s="17"/>
      <c r="Y111" s="17"/>
      <c r="Z111" s="17"/>
      <c r="AA111" s="17"/>
      <c r="AB111" s="17" t="s">
        <v>49</v>
      </c>
      <c r="AC111" s="17"/>
      <c r="AD111" s="17" t="s">
        <v>50</v>
      </c>
      <c r="AE111" s="17"/>
      <c r="AF111" s="17"/>
      <c r="AG111" s="17"/>
      <c r="AH111" s="17"/>
      <c r="AI111" s="17"/>
      <c r="AJ111" s="17"/>
      <c r="AK111" s="29"/>
    </row>
    <row r="112" spans="1:37" ht="9.9499999999999993">
      <c r="A112" s="29">
        <v>46266</v>
      </c>
      <c r="B112" s="22">
        <v>3392872</v>
      </c>
      <c r="C112" s="17" t="s">
        <v>388</v>
      </c>
      <c r="D112" s="17" t="s">
        <v>38</v>
      </c>
      <c r="E112" s="17" t="s">
        <v>38</v>
      </c>
      <c r="F112" s="17"/>
      <c r="G112" s="17" t="str">
        <f>Table1[[#This Row],[DESCRIPCION_POSICION]]</f>
        <v>Recorredor Semi Jr.</v>
      </c>
      <c r="H112" s="17" t="s">
        <v>391</v>
      </c>
      <c r="I112" s="17" t="s">
        <v>40</v>
      </c>
      <c r="J112" s="17" t="s">
        <v>68</v>
      </c>
      <c r="K112" s="17" t="s">
        <v>84</v>
      </c>
      <c r="L112" s="36" t="s">
        <v>215</v>
      </c>
      <c r="M112" s="103"/>
      <c r="N112" s="37" t="s">
        <v>392</v>
      </c>
      <c r="O112" s="36" t="str">
        <f>VLOOKUP(L112,CECOs!A:B,2,0)</f>
        <v>Oper campo LBAS</v>
      </c>
      <c r="P112" s="17" t="str">
        <f>VLOOKUP(B:B,CECOs!G:I,3,FALSE)</f>
        <v>OperadordeCampo</v>
      </c>
      <c r="Q112" s="17" t="str">
        <f>IF(_xlfn.XLOOKUP(L112,CECOs!A:A,CECOs!C:C,"")="",K112,_xlfn.XLOOKUP(L112,CECOs!A:A,CECOs!C:C,""))</f>
        <v>BECHARA, LUCAS ANTONIO</v>
      </c>
      <c r="R112" s="17" t="s">
        <v>38</v>
      </c>
      <c r="S112" s="17" t="s">
        <v>45</v>
      </c>
      <c r="T112" s="17" t="s">
        <v>61</v>
      </c>
      <c r="U112" s="17" t="s">
        <v>217</v>
      </c>
      <c r="V112" s="17" t="s">
        <v>95</v>
      </c>
      <c r="W112" s="17"/>
      <c r="X112" s="17"/>
      <c r="Y112" s="17"/>
      <c r="Z112" s="17"/>
      <c r="AA112" s="17"/>
      <c r="AB112" s="17" t="s">
        <v>49</v>
      </c>
      <c r="AC112" s="17"/>
      <c r="AD112" s="17" t="s">
        <v>50</v>
      </c>
      <c r="AE112" s="17"/>
      <c r="AF112" s="17"/>
      <c r="AG112" s="17"/>
      <c r="AH112" s="17"/>
      <c r="AI112" s="17"/>
      <c r="AJ112" s="17"/>
      <c r="AK112" s="29"/>
    </row>
    <row r="113" spans="1:37" ht="9.9499999999999993">
      <c r="A113" s="29">
        <v>46266</v>
      </c>
      <c r="B113" s="22">
        <v>3392873</v>
      </c>
      <c r="C113" s="17" t="s">
        <v>383</v>
      </c>
      <c r="D113" s="17" t="s">
        <v>38</v>
      </c>
      <c r="E113" s="17" t="s">
        <v>38</v>
      </c>
      <c r="F113" s="17"/>
      <c r="G113" s="17" t="str">
        <f>Table1[[#This Row],[DESCRIPCION_POSICION]]</f>
        <v>Recorredor</v>
      </c>
      <c r="H113" s="22" t="s">
        <v>393</v>
      </c>
      <c r="I113" s="17" t="s">
        <v>40</v>
      </c>
      <c r="J113" s="17" t="s">
        <v>68</v>
      </c>
      <c r="K113" s="17" t="s">
        <v>84</v>
      </c>
      <c r="L113" s="36" t="s">
        <v>215</v>
      </c>
      <c r="M113" s="103"/>
      <c r="N113" s="37" t="s">
        <v>394</v>
      </c>
      <c r="O113" s="36" t="str">
        <f>VLOOKUP(L113,CECOs!A:B,2,0)</f>
        <v>Oper campo LBAS</v>
      </c>
      <c r="P113" s="17" t="str">
        <f>VLOOKUP(B:B,CECOs!G:I,3,FALSE)</f>
        <v>OperadordeCampo</v>
      </c>
      <c r="Q113" s="17" t="str">
        <f>IF(_xlfn.XLOOKUP(L113,CECOs!A:A,CECOs!C:C,"")="",K113,_xlfn.XLOOKUP(L113,CECOs!A:A,CECOs!C:C,""))</f>
        <v>BECHARA, LUCAS ANTONIO</v>
      </c>
      <c r="R113" s="17" t="s">
        <v>38</v>
      </c>
      <c r="S113" s="17" t="s">
        <v>45</v>
      </c>
      <c r="T113" s="17" t="s">
        <v>61</v>
      </c>
      <c r="U113" s="17" t="s">
        <v>217</v>
      </c>
      <c r="V113" s="17" t="s">
        <v>95</v>
      </c>
      <c r="W113" s="17"/>
      <c r="X113" s="17"/>
      <c r="Y113" s="17"/>
      <c r="Z113" s="17"/>
      <c r="AA113" s="17"/>
      <c r="AB113" s="17" t="s">
        <v>49</v>
      </c>
      <c r="AC113" s="17"/>
      <c r="AD113" s="17" t="s">
        <v>50</v>
      </c>
      <c r="AE113" s="17"/>
      <c r="AF113" s="17"/>
      <c r="AG113" s="17"/>
      <c r="AH113" s="17"/>
      <c r="AI113" s="17"/>
      <c r="AJ113" s="17"/>
      <c r="AK113" s="29"/>
    </row>
    <row r="114" spans="1:37" ht="9.9499999999999993">
      <c r="A114" s="29">
        <v>46266</v>
      </c>
      <c r="B114" s="22">
        <v>3392874</v>
      </c>
      <c r="C114" s="17" t="s">
        <v>213</v>
      </c>
      <c r="D114" s="17" t="s">
        <v>38</v>
      </c>
      <c r="E114" s="17" t="s">
        <v>38</v>
      </c>
      <c r="F114" s="17"/>
      <c r="G114" s="17" t="str">
        <f>Table1[[#This Row],[DESCRIPCION_POSICION]]</f>
        <v>Recorredor Especializado</v>
      </c>
      <c r="H114" s="17" t="s">
        <v>395</v>
      </c>
      <c r="I114" s="17" t="s">
        <v>40</v>
      </c>
      <c r="J114" s="17" t="s">
        <v>68</v>
      </c>
      <c r="K114" s="17" t="s">
        <v>84</v>
      </c>
      <c r="L114" s="36" t="s">
        <v>215</v>
      </c>
      <c r="M114" s="103"/>
      <c r="N114" s="37" t="s">
        <v>396</v>
      </c>
      <c r="O114" s="36" t="str">
        <f>VLOOKUP(L114,CECOs!A:B,2,0)</f>
        <v>Oper campo LBAS</v>
      </c>
      <c r="P114" s="17" t="str">
        <f>VLOOKUP(B:B,CECOs!G:I,3,FALSE)</f>
        <v>OperadordeCampo</v>
      </c>
      <c r="Q114" s="17" t="str">
        <f>IF(_xlfn.XLOOKUP(L114,CECOs!A:A,CECOs!C:C,"")="",K114,_xlfn.XLOOKUP(L114,CECOs!A:A,CECOs!C:C,""))</f>
        <v>BECHARA, LUCAS ANTONIO</v>
      </c>
      <c r="R114" s="17" t="s">
        <v>38</v>
      </c>
      <c r="S114" s="17" t="s">
        <v>45</v>
      </c>
      <c r="T114" s="17" t="s">
        <v>61</v>
      </c>
      <c r="U114" s="17" t="s">
        <v>217</v>
      </c>
      <c r="V114" s="17" t="s">
        <v>95</v>
      </c>
      <c r="W114" s="17"/>
      <c r="X114" s="17"/>
      <c r="Y114" s="17"/>
      <c r="Z114" s="17"/>
      <c r="AA114" s="17"/>
      <c r="AB114" s="17" t="s">
        <v>49</v>
      </c>
      <c r="AC114" s="17"/>
      <c r="AD114" s="17" t="s">
        <v>50</v>
      </c>
      <c r="AE114" s="17"/>
      <c r="AF114" s="17"/>
      <c r="AG114" s="17"/>
      <c r="AH114" s="17"/>
      <c r="AI114" s="17"/>
      <c r="AJ114" s="17"/>
      <c r="AK114" s="29"/>
    </row>
    <row r="115" spans="1:37" ht="9.9499999999999993">
      <c r="A115" s="29">
        <v>46266</v>
      </c>
      <c r="B115" s="22">
        <v>3392875</v>
      </c>
      <c r="C115" s="17" t="s">
        <v>388</v>
      </c>
      <c r="D115" s="17" t="s">
        <v>38</v>
      </c>
      <c r="E115" s="17" t="s">
        <v>38</v>
      </c>
      <c r="F115" s="17"/>
      <c r="G115" s="17" t="str">
        <f>Table1[[#This Row],[DESCRIPCION_POSICION]]</f>
        <v>Recorredor Semi Jr.</v>
      </c>
      <c r="H115" s="22" t="s">
        <v>397</v>
      </c>
      <c r="I115" s="17" t="s">
        <v>40</v>
      </c>
      <c r="J115" s="17" t="s">
        <v>68</v>
      </c>
      <c r="K115" s="17" t="s">
        <v>84</v>
      </c>
      <c r="L115" s="36" t="s">
        <v>215</v>
      </c>
      <c r="M115" s="103"/>
      <c r="N115" s="37" t="s">
        <v>398</v>
      </c>
      <c r="O115" s="36" t="str">
        <f>VLOOKUP(L115,CECOs!A:B,2,0)</f>
        <v>Oper campo LBAS</v>
      </c>
      <c r="P115" s="17" t="str">
        <f>VLOOKUP(B:B,CECOs!G:I,3,FALSE)</f>
        <v>OperadordeCampo</v>
      </c>
      <c r="Q115" s="17" t="str">
        <f>IF(_xlfn.XLOOKUP(L115,CECOs!A:A,CECOs!C:C,"")="",K115,_xlfn.XLOOKUP(L115,CECOs!A:A,CECOs!C:C,""))</f>
        <v>BECHARA, LUCAS ANTONIO</v>
      </c>
      <c r="R115" s="17" t="s">
        <v>38</v>
      </c>
      <c r="S115" s="17" t="s">
        <v>45</v>
      </c>
      <c r="T115" s="17" t="s">
        <v>61</v>
      </c>
      <c r="U115" s="17" t="s">
        <v>217</v>
      </c>
      <c r="V115" s="17" t="s">
        <v>95</v>
      </c>
      <c r="W115" s="17"/>
      <c r="X115" s="17"/>
      <c r="Y115" s="17"/>
      <c r="Z115" s="17"/>
      <c r="AA115" s="17"/>
      <c r="AB115" s="17" t="s">
        <v>49</v>
      </c>
      <c r="AC115" s="17"/>
      <c r="AD115" s="17" t="s">
        <v>50</v>
      </c>
      <c r="AE115" s="17"/>
      <c r="AF115" s="17"/>
      <c r="AG115" s="17"/>
      <c r="AH115" s="17"/>
      <c r="AI115" s="17"/>
      <c r="AJ115" s="17"/>
      <c r="AK115" s="29"/>
    </row>
    <row r="116" spans="1:37" ht="9.9499999999999993">
      <c r="A116" s="29">
        <v>46266</v>
      </c>
      <c r="B116" s="22">
        <v>3392876</v>
      </c>
      <c r="C116" s="17" t="s">
        <v>90</v>
      </c>
      <c r="D116" s="17" t="s">
        <v>38</v>
      </c>
      <c r="E116" s="17" t="s">
        <v>38</v>
      </c>
      <c r="F116" s="17"/>
      <c r="G116" s="17" t="str">
        <f>Table1[[#This Row],[DESCRIPCION_POSICION]]</f>
        <v>Oficial Especializado de Oficios</v>
      </c>
      <c r="H116" s="17" t="s">
        <v>399</v>
      </c>
      <c r="I116" s="17" t="s">
        <v>40</v>
      </c>
      <c r="J116" s="17" t="s">
        <v>68</v>
      </c>
      <c r="K116" s="17" t="s">
        <v>84</v>
      </c>
      <c r="L116" s="36" t="s">
        <v>400</v>
      </c>
      <c r="M116" s="103"/>
      <c r="N116" s="37" t="s">
        <v>401</v>
      </c>
      <c r="O116" s="36" t="str">
        <f>VLOOKUP(L116,CECOs!A:B,2,0)</f>
        <v>Mtto Instrumentos LBAS</v>
      </c>
      <c r="P116" s="17" t="str">
        <f>VLOOKUP(B:B,CECOs!G:I,3,FALSE)</f>
        <v>InstrumentistaConvencional</v>
      </c>
      <c r="Q116" s="17" t="str">
        <f>IF(_xlfn.XLOOKUP(L116,CECOs!A:A,CECOs!C:C,"")="",K116,_xlfn.XLOOKUP(L116,CECOs!A:A,CECOs!C:C,""))</f>
        <v>BECHARA, LUCAS ANTONIO</v>
      </c>
      <c r="R116" s="17" t="s">
        <v>38</v>
      </c>
      <c r="S116" s="17" t="s">
        <v>45</v>
      </c>
      <c r="T116" s="17" t="s">
        <v>57</v>
      </c>
      <c r="U116" s="17" t="s">
        <v>94</v>
      </c>
      <c r="V116" s="17" t="s">
        <v>95</v>
      </c>
      <c r="W116" s="17"/>
      <c r="X116" s="17"/>
      <c r="Y116" s="17"/>
      <c r="Z116" s="17"/>
      <c r="AA116" s="17"/>
      <c r="AB116" s="17" t="s">
        <v>49</v>
      </c>
      <c r="AC116" s="17"/>
      <c r="AD116" s="17" t="s">
        <v>50</v>
      </c>
      <c r="AE116" s="17"/>
      <c r="AF116" s="17"/>
      <c r="AG116" s="17"/>
      <c r="AH116" s="17"/>
      <c r="AI116" s="17"/>
      <c r="AJ116" s="17"/>
      <c r="AK116" s="29"/>
    </row>
    <row r="117" spans="1:37" ht="9.9499999999999993">
      <c r="A117" s="29">
        <v>46266</v>
      </c>
      <c r="B117" s="22">
        <v>3392877</v>
      </c>
      <c r="C117" s="17" t="s">
        <v>402</v>
      </c>
      <c r="D117" s="17" t="s">
        <v>38</v>
      </c>
      <c r="E117" s="17" t="s">
        <v>38</v>
      </c>
      <c r="F117" s="17"/>
      <c r="G117" s="17" t="str">
        <f>Table1[[#This Row],[DESCRIPCION_POSICION]]</f>
        <v>Operador Principal de Cuadrilla</v>
      </c>
      <c r="H117" s="22" t="s">
        <v>403</v>
      </c>
      <c r="I117" s="17" t="s">
        <v>40</v>
      </c>
      <c r="J117" s="17" t="s">
        <v>68</v>
      </c>
      <c r="K117" s="17" t="s">
        <v>84</v>
      </c>
      <c r="L117" s="36" t="s">
        <v>400</v>
      </c>
      <c r="M117" s="103"/>
      <c r="N117" s="37" t="s">
        <v>404</v>
      </c>
      <c r="O117" s="36" t="str">
        <f>VLOOKUP(L117,CECOs!A:B,2,0)</f>
        <v>Mtto Instrumentos LBAS</v>
      </c>
      <c r="P117" s="17" t="str">
        <f>VLOOKUP(B:B,CECOs!G:I,3,FALSE)</f>
        <v>InstrumentistaConvencional</v>
      </c>
      <c r="Q117" s="17" t="str">
        <f>IF(_xlfn.XLOOKUP(L117,CECOs!A:A,CECOs!C:C,"")="",K117,_xlfn.XLOOKUP(L117,CECOs!A:A,CECOs!C:C,""))</f>
        <v>BECHARA, LUCAS ANTONIO</v>
      </c>
      <c r="R117" s="17" t="s">
        <v>38</v>
      </c>
      <c r="S117" s="17" t="s">
        <v>45</v>
      </c>
      <c r="T117" s="17" t="s">
        <v>57</v>
      </c>
      <c r="U117" s="17" t="s">
        <v>94</v>
      </c>
      <c r="V117" s="17" t="s">
        <v>95</v>
      </c>
      <c r="W117" s="17"/>
      <c r="X117" s="17"/>
      <c r="Y117" s="17"/>
      <c r="Z117" s="17"/>
      <c r="AA117" s="17"/>
      <c r="AB117" s="17" t="s">
        <v>49</v>
      </c>
      <c r="AC117" s="17"/>
      <c r="AD117" s="17" t="s">
        <v>50</v>
      </c>
      <c r="AE117" s="17"/>
      <c r="AF117" s="17"/>
      <c r="AG117" s="17"/>
      <c r="AH117" s="17"/>
      <c r="AI117" s="17"/>
      <c r="AJ117" s="17"/>
      <c r="AK117" s="29"/>
    </row>
    <row r="118" spans="1:37" ht="9.9499999999999993">
      <c r="A118" s="29">
        <v>46266</v>
      </c>
      <c r="B118" s="22">
        <v>3392878</v>
      </c>
      <c r="C118" s="17" t="s">
        <v>402</v>
      </c>
      <c r="D118" s="17" t="s">
        <v>38</v>
      </c>
      <c r="E118" s="17" t="s">
        <v>38</v>
      </c>
      <c r="F118" s="17"/>
      <c r="G118" s="17" t="str">
        <f>Table1[[#This Row],[DESCRIPCION_POSICION]]</f>
        <v>Operador Principal de Cuadrilla</v>
      </c>
      <c r="H118" s="17" t="s">
        <v>405</v>
      </c>
      <c r="I118" s="17" t="s">
        <v>40</v>
      </c>
      <c r="J118" s="17" t="s">
        <v>68</v>
      </c>
      <c r="K118" s="17" t="s">
        <v>84</v>
      </c>
      <c r="L118" s="36" t="s">
        <v>406</v>
      </c>
      <c r="M118" s="103"/>
      <c r="N118" s="37" t="s">
        <v>407</v>
      </c>
      <c r="O118" s="36" t="str">
        <f>VLOOKUP(L118,CECOs!A:B,2,0)</f>
        <v>Mtto Eléctrico LBAS</v>
      </c>
      <c r="P118" s="17" t="str">
        <f>VLOOKUP(B:B,CECOs!G:I,3,FALSE)</f>
        <v>EléctricoConvencional</v>
      </c>
      <c r="Q118" s="17" t="str">
        <f>IF(_xlfn.XLOOKUP(L118,CECOs!A:A,CECOs!C:C,"")="",K118,_xlfn.XLOOKUP(L118,CECOs!A:A,CECOs!C:C,""))</f>
        <v>BECHARA, LUCAS ANTONIO</v>
      </c>
      <c r="R118" s="17" t="s">
        <v>38</v>
      </c>
      <c r="S118" s="17" t="s">
        <v>45</v>
      </c>
      <c r="T118" s="17" t="s">
        <v>57</v>
      </c>
      <c r="U118" s="17" t="s">
        <v>94</v>
      </c>
      <c r="V118" s="17" t="s">
        <v>95</v>
      </c>
      <c r="W118" s="17"/>
      <c r="X118" s="17"/>
      <c r="Y118" s="17"/>
      <c r="Z118" s="17"/>
      <c r="AA118" s="17"/>
      <c r="AB118" s="17" t="s">
        <v>49</v>
      </c>
      <c r="AC118" s="17"/>
      <c r="AD118" s="17" t="s">
        <v>50</v>
      </c>
      <c r="AE118" s="17"/>
      <c r="AF118" s="17"/>
      <c r="AG118" s="17"/>
      <c r="AH118" s="17"/>
      <c r="AI118" s="17"/>
      <c r="AJ118" s="17"/>
      <c r="AK118" s="29"/>
    </row>
    <row r="119" spans="1:37" ht="9.9499999999999993">
      <c r="A119" s="29">
        <v>46266</v>
      </c>
      <c r="B119" s="22">
        <v>3392879</v>
      </c>
      <c r="C119" s="17" t="s">
        <v>90</v>
      </c>
      <c r="D119" s="17" t="s">
        <v>38</v>
      </c>
      <c r="E119" s="17" t="s">
        <v>38</v>
      </c>
      <c r="F119" s="17"/>
      <c r="G119" s="17" t="str">
        <f>Table1[[#This Row],[DESCRIPCION_POSICION]]</f>
        <v>Oficial Especializado de Oficios</v>
      </c>
      <c r="H119" s="22" t="s">
        <v>408</v>
      </c>
      <c r="I119" s="17" t="s">
        <v>40</v>
      </c>
      <c r="J119" s="17" t="s">
        <v>68</v>
      </c>
      <c r="K119" s="17" t="s">
        <v>84</v>
      </c>
      <c r="L119" s="36" t="s">
        <v>406</v>
      </c>
      <c r="M119" s="103"/>
      <c r="N119" s="37" t="s">
        <v>409</v>
      </c>
      <c r="O119" s="36" t="str">
        <f>VLOOKUP(L119,CECOs!A:B,2,0)</f>
        <v>Mtto Eléctrico LBAS</v>
      </c>
      <c r="P119" s="17" t="str">
        <f>VLOOKUP(B:B,CECOs!G:I,3,FALSE)</f>
        <v>EléctricoConvencional</v>
      </c>
      <c r="Q119" s="17" t="str">
        <f>IF(_xlfn.XLOOKUP(L119,CECOs!A:A,CECOs!C:C,"")="",K119,_xlfn.XLOOKUP(L119,CECOs!A:A,CECOs!C:C,""))</f>
        <v>BECHARA, LUCAS ANTONIO</v>
      </c>
      <c r="R119" s="17" t="s">
        <v>38</v>
      </c>
      <c r="S119" s="17" t="s">
        <v>45</v>
      </c>
      <c r="T119" s="17" t="s">
        <v>57</v>
      </c>
      <c r="U119" s="17" t="s">
        <v>94</v>
      </c>
      <c r="V119" s="17" t="s">
        <v>95</v>
      </c>
      <c r="W119" s="17"/>
      <c r="X119" s="17"/>
      <c r="Y119" s="17"/>
      <c r="Z119" s="17"/>
      <c r="AA119" s="17"/>
      <c r="AB119" s="17" t="s">
        <v>49</v>
      </c>
      <c r="AC119" s="17"/>
      <c r="AD119" s="17" t="s">
        <v>50</v>
      </c>
      <c r="AE119" s="17"/>
      <c r="AF119" s="17"/>
      <c r="AG119" s="17"/>
      <c r="AH119" s="17"/>
      <c r="AI119" s="17"/>
      <c r="AJ119" s="17"/>
      <c r="AK119" s="29"/>
    </row>
    <row r="120" spans="1:37" ht="9.9499999999999993">
      <c r="A120" s="29">
        <v>46266</v>
      </c>
      <c r="B120" s="22">
        <v>3392880</v>
      </c>
      <c r="C120" s="17" t="s">
        <v>410</v>
      </c>
      <c r="D120" s="17" t="s">
        <v>38</v>
      </c>
      <c r="E120" s="17" t="s">
        <v>38</v>
      </c>
      <c r="F120" s="17"/>
      <c r="G120" s="17" t="str">
        <f>Table1[[#This Row],[DESCRIPCION_POSICION]]</f>
        <v>Oficial de Oficios</v>
      </c>
      <c r="H120" s="17" t="s">
        <v>411</v>
      </c>
      <c r="I120" s="17" t="s">
        <v>40</v>
      </c>
      <c r="J120" s="17" t="s">
        <v>68</v>
      </c>
      <c r="K120" s="17" t="s">
        <v>84</v>
      </c>
      <c r="L120" s="36" t="s">
        <v>412</v>
      </c>
      <c r="M120" s="103"/>
      <c r="N120" s="37" t="s">
        <v>413</v>
      </c>
      <c r="O120" s="36" t="str">
        <f>VLOOKUP(L120,CECOs!A:B,2,0)</f>
        <v>Mtto Mecánico LBAS</v>
      </c>
      <c r="P120" s="17" t="str">
        <f>VLOOKUP(B:B,CECOs!G:I,3,FALSE)</f>
        <v>MecánicosLBAS</v>
      </c>
      <c r="Q120" s="17" t="str">
        <f>IF(_xlfn.XLOOKUP(L120,CECOs!A:A,CECOs!C:C,"")="",K120,_xlfn.XLOOKUP(L120,CECOs!A:A,CECOs!C:C,""))</f>
        <v>BECHARA, LUCAS ANTONIO</v>
      </c>
      <c r="R120" s="17" t="s">
        <v>38</v>
      </c>
      <c r="S120" s="17" t="s">
        <v>45</v>
      </c>
      <c r="T120" s="17" t="s">
        <v>57</v>
      </c>
      <c r="U120" s="17" t="s">
        <v>94</v>
      </c>
      <c r="V120" s="17" t="s">
        <v>95</v>
      </c>
      <c r="W120" s="17"/>
      <c r="X120" s="17"/>
      <c r="Y120" s="17"/>
      <c r="Z120" s="17"/>
      <c r="AA120" s="17"/>
      <c r="AB120" s="17" t="s">
        <v>49</v>
      </c>
      <c r="AC120" s="17"/>
      <c r="AD120" s="17" t="s">
        <v>50</v>
      </c>
      <c r="AE120" s="17"/>
      <c r="AF120" s="17"/>
      <c r="AG120" s="17"/>
      <c r="AH120" s="17"/>
      <c r="AI120" s="17"/>
      <c r="AJ120" s="17"/>
      <c r="AK120" s="29"/>
    </row>
    <row r="121" spans="1:37" ht="9.9499999999999993">
      <c r="A121" s="29">
        <v>46266</v>
      </c>
      <c r="B121" s="22">
        <v>3392881</v>
      </c>
      <c r="C121" s="17" t="s">
        <v>402</v>
      </c>
      <c r="D121" s="17" t="s">
        <v>38</v>
      </c>
      <c r="E121" s="17" t="s">
        <v>38</v>
      </c>
      <c r="F121" s="17"/>
      <c r="G121" s="17" t="str">
        <f>Table1[[#This Row],[DESCRIPCION_POSICION]]</f>
        <v>Operador Principal de Cuadrilla</v>
      </c>
      <c r="H121" s="22" t="s">
        <v>414</v>
      </c>
      <c r="I121" s="17" t="s">
        <v>40</v>
      </c>
      <c r="J121" s="17" t="s">
        <v>68</v>
      </c>
      <c r="K121" s="17" t="s">
        <v>84</v>
      </c>
      <c r="L121" s="36" t="s">
        <v>412</v>
      </c>
      <c r="M121" s="103"/>
      <c r="N121" s="37" t="s">
        <v>415</v>
      </c>
      <c r="O121" s="36" t="str">
        <f>VLOOKUP(L121,CECOs!A:B,2,0)</f>
        <v>Mtto Mecánico LBAS</v>
      </c>
      <c r="P121" s="17" t="str">
        <f>VLOOKUP(B:B,CECOs!G:I,3,FALSE)</f>
        <v>MecánicosLBAS</v>
      </c>
      <c r="Q121" s="17" t="str">
        <f>IF(_xlfn.XLOOKUP(L121,CECOs!A:A,CECOs!C:C,"")="",K121,_xlfn.XLOOKUP(L121,CECOs!A:A,CECOs!C:C,""))</f>
        <v>BECHARA, LUCAS ANTONIO</v>
      </c>
      <c r="R121" s="17" t="s">
        <v>38</v>
      </c>
      <c r="S121" s="17" t="s">
        <v>45</v>
      </c>
      <c r="T121" s="17" t="s">
        <v>57</v>
      </c>
      <c r="U121" s="17" t="s">
        <v>94</v>
      </c>
      <c r="V121" s="17" t="s">
        <v>95</v>
      </c>
      <c r="W121" s="17"/>
      <c r="X121" s="17"/>
      <c r="Y121" s="17"/>
      <c r="Z121" s="17"/>
      <c r="AA121" s="17"/>
      <c r="AB121" s="17" t="s">
        <v>49</v>
      </c>
      <c r="AC121" s="17"/>
      <c r="AD121" s="17" t="s">
        <v>50</v>
      </c>
      <c r="AE121" s="17"/>
      <c r="AF121" s="17"/>
      <c r="AG121" s="17"/>
      <c r="AH121" s="17"/>
      <c r="AI121" s="17"/>
      <c r="AJ121" s="17"/>
      <c r="AK121" s="29"/>
    </row>
    <row r="122" spans="1:37" ht="9.9499999999999993">
      <c r="A122" s="29">
        <v>46266</v>
      </c>
      <c r="B122" s="22">
        <v>3392882</v>
      </c>
      <c r="C122" s="17" t="s">
        <v>416</v>
      </c>
      <c r="D122" s="17" t="s">
        <v>38</v>
      </c>
      <c r="E122" s="17" t="s">
        <v>38</v>
      </c>
      <c r="F122" s="17"/>
      <c r="G122" s="17" t="str">
        <f>Table1[[#This Row],[DESCRIPCION_POSICION]]</f>
        <v>Ayudante de Oficios</v>
      </c>
      <c r="H122" s="22" t="s">
        <v>417</v>
      </c>
      <c r="I122" s="17" t="s">
        <v>40</v>
      </c>
      <c r="J122" s="17" t="s">
        <v>68</v>
      </c>
      <c r="K122" s="17" t="s">
        <v>84</v>
      </c>
      <c r="L122" s="36" t="s">
        <v>412</v>
      </c>
      <c r="M122" s="103"/>
      <c r="N122" s="37" t="s">
        <v>418</v>
      </c>
      <c r="O122" s="36" t="str">
        <f>VLOOKUP(L122,CECOs!A:B,2,0)</f>
        <v>Mtto Mecánico LBAS</v>
      </c>
      <c r="P122" s="17" t="str">
        <f>VLOOKUP(B:B,CECOs!G:I,3,FALSE)</f>
        <v>Relevomantenimiento</v>
      </c>
      <c r="Q122" s="17" t="str">
        <f>IF(_xlfn.XLOOKUP(L122,CECOs!A:A,CECOs!C:C,"")="",K122,_xlfn.XLOOKUP(L122,CECOs!A:A,CECOs!C:C,""))</f>
        <v>BECHARA, LUCAS ANTONIO</v>
      </c>
      <c r="R122" s="17" t="s">
        <v>38</v>
      </c>
      <c r="S122" s="17" t="s">
        <v>45</v>
      </c>
      <c r="T122" s="17" t="s">
        <v>57</v>
      </c>
      <c r="U122" s="17" t="s">
        <v>94</v>
      </c>
      <c r="V122" s="17" t="s">
        <v>95</v>
      </c>
      <c r="W122" s="17"/>
      <c r="X122" s="17"/>
      <c r="Y122" s="17"/>
      <c r="Z122" s="17"/>
      <c r="AA122" s="17"/>
      <c r="AB122" s="17" t="s">
        <v>49</v>
      </c>
      <c r="AC122" s="17"/>
      <c r="AD122" s="17" t="s">
        <v>50</v>
      </c>
      <c r="AE122" s="17"/>
      <c r="AF122" s="17"/>
      <c r="AG122" s="17"/>
      <c r="AH122" s="17"/>
      <c r="AI122" s="17"/>
      <c r="AJ122" s="17"/>
      <c r="AK122" s="29"/>
    </row>
    <row r="123" spans="1:37" ht="9.9499999999999993">
      <c r="A123" s="29">
        <v>46266</v>
      </c>
      <c r="B123" s="22">
        <v>3392883</v>
      </c>
      <c r="C123" s="17" t="s">
        <v>90</v>
      </c>
      <c r="D123" s="17" t="s">
        <v>38</v>
      </c>
      <c r="E123" s="17" t="s">
        <v>38</v>
      </c>
      <c r="F123" s="17"/>
      <c r="G123" s="17" t="str">
        <f>Table1[[#This Row],[DESCRIPCION_POSICION]]</f>
        <v>Oficial Especializado de Oficios</v>
      </c>
      <c r="H123" s="22" t="s">
        <v>419</v>
      </c>
      <c r="I123" s="17" t="s">
        <v>40</v>
      </c>
      <c r="J123" s="17" t="s">
        <v>68</v>
      </c>
      <c r="K123" s="17" t="s">
        <v>84</v>
      </c>
      <c r="L123" s="36" t="s">
        <v>420</v>
      </c>
      <c r="M123" s="103"/>
      <c r="N123" s="37" t="s">
        <v>421</v>
      </c>
      <c r="O123" s="36" t="str">
        <f>VLOOKUP(L123,CECOs!A:B,2,0)</f>
        <v>Soldadura LBAS</v>
      </c>
      <c r="P123" s="17" t="str">
        <f>VLOOKUP(B:B,CECOs!G:I,3,FALSE)</f>
        <v>Cuadrillasoldadura-CañistaO&amp;M</v>
      </c>
      <c r="Q123" s="17" t="str">
        <f>IF(_xlfn.XLOOKUP(L123,CECOs!A:A,CECOs!C:C,"")="",K123,_xlfn.XLOOKUP(L123,CECOs!A:A,CECOs!C:C,""))</f>
        <v>BECHARA, LUCAS ANTONIO</v>
      </c>
      <c r="R123" s="17" t="s">
        <v>38</v>
      </c>
      <c r="S123" s="17" t="s">
        <v>45</v>
      </c>
      <c r="T123" s="17" t="s">
        <v>57</v>
      </c>
      <c r="U123" s="17" t="s">
        <v>94</v>
      </c>
      <c r="V123" s="17" t="s">
        <v>95</v>
      </c>
      <c r="W123" s="17"/>
      <c r="X123" s="17"/>
      <c r="Y123" s="17"/>
      <c r="Z123" s="17"/>
      <c r="AA123" s="17"/>
      <c r="AB123" s="17" t="s">
        <v>49</v>
      </c>
      <c r="AC123" s="17"/>
      <c r="AD123" s="17" t="s">
        <v>50</v>
      </c>
      <c r="AE123" s="17"/>
      <c r="AF123" s="17"/>
      <c r="AG123" s="17"/>
      <c r="AH123" s="17"/>
      <c r="AI123" s="17"/>
      <c r="AJ123" s="17"/>
      <c r="AK123" s="29"/>
    </row>
    <row r="124" spans="1:37" ht="9.9499999999999993">
      <c r="A124" s="29">
        <v>46266</v>
      </c>
      <c r="B124" s="22">
        <v>3392884</v>
      </c>
      <c r="C124" s="17" t="s">
        <v>422</v>
      </c>
      <c r="D124" s="17" t="s">
        <v>38</v>
      </c>
      <c r="E124" s="17" t="s">
        <v>38</v>
      </c>
      <c r="F124" s="17"/>
      <c r="G124" s="17" t="str">
        <f>Table1[[#This Row],[DESCRIPCION_POSICION]]</f>
        <v>Oficial Sr. de Oficios</v>
      </c>
      <c r="H124" s="17" t="s">
        <v>423</v>
      </c>
      <c r="I124" s="17" t="s">
        <v>40</v>
      </c>
      <c r="J124" s="17" t="s">
        <v>68</v>
      </c>
      <c r="K124" s="17" t="s">
        <v>84</v>
      </c>
      <c r="L124" s="36" t="s">
        <v>420</v>
      </c>
      <c r="M124" s="103"/>
      <c r="N124" s="38" t="s">
        <v>424</v>
      </c>
      <c r="O124" s="36" t="str">
        <f>VLOOKUP(L124,CECOs!A:B,2,0)</f>
        <v>Soldadura LBAS</v>
      </c>
      <c r="P124" s="17" t="str">
        <f>VLOOKUP(B:B,CECOs!G:I,3,FALSE)</f>
        <v>Cuadrillasoldadura-SoldadorO&amp;M</v>
      </c>
      <c r="Q124" s="17" t="str">
        <f>IF(_xlfn.XLOOKUP(L124,CECOs!A:A,CECOs!C:C,"")="",K124,_xlfn.XLOOKUP(L124,CECOs!A:A,CECOs!C:C,""))</f>
        <v>BECHARA, LUCAS ANTONIO</v>
      </c>
      <c r="R124" s="17" t="s">
        <v>38</v>
      </c>
      <c r="S124" s="17" t="s">
        <v>45</v>
      </c>
      <c r="T124" s="17" t="s">
        <v>57</v>
      </c>
      <c r="U124" s="17" t="s">
        <v>94</v>
      </c>
      <c r="V124" s="17" t="s">
        <v>95</v>
      </c>
      <c r="W124" s="17"/>
      <c r="X124" s="17"/>
      <c r="Y124" s="17"/>
      <c r="Z124" s="17"/>
      <c r="AA124" s="17"/>
      <c r="AB124" s="17" t="s">
        <v>49</v>
      </c>
      <c r="AC124" s="17"/>
      <c r="AD124" s="17" t="s">
        <v>50</v>
      </c>
      <c r="AE124" s="17"/>
      <c r="AF124" s="17"/>
      <c r="AG124" s="17"/>
      <c r="AH124" s="17"/>
      <c r="AI124" s="17"/>
      <c r="AJ124" s="17"/>
      <c r="AK124" s="29"/>
    </row>
    <row r="125" spans="1:37" ht="9.9499999999999993">
      <c r="A125" s="29">
        <v>46266</v>
      </c>
      <c r="B125" s="22">
        <v>3392885</v>
      </c>
      <c r="C125" s="17" t="s">
        <v>402</v>
      </c>
      <c r="D125" s="17" t="s">
        <v>38</v>
      </c>
      <c r="E125" s="17" t="s">
        <v>38</v>
      </c>
      <c r="F125" s="17"/>
      <c r="G125" s="17" t="str">
        <f>Table1[[#This Row],[DESCRIPCION_POSICION]]</f>
        <v>Operador Principal de Cuadrilla</v>
      </c>
      <c r="H125" s="22" t="s">
        <v>425</v>
      </c>
      <c r="I125" s="17" t="s">
        <v>40</v>
      </c>
      <c r="J125" s="17" t="s">
        <v>68</v>
      </c>
      <c r="K125" s="17" t="s">
        <v>84</v>
      </c>
      <c r="L125" s="36" t="s">
        <v>420</v>
      </c>
      <c r="M125" s="103"/>
      <c r="N125" s="37" t="s">
        <v>426</v>
      </c>
      <c r="O125" s="36" t="str">
        <f>VLOOKUP(L125,CECOs!A:B,2,0)</f>
        <v>Soldadura LBAS</v>
      </c>
      <c r="P125" s="17" t="str">
        <f>VLOOKUP(B:B,CECOs!G:I,3,FALSE)</f>
        <v>Cuadrillasoldadura-SoldadorO&amp;M</v>
      </c>
      <c r="Q125" s="17" t="str">
        <f>IF(_xlfn.XLOOKUP(L125,CECOs!A:A,CECOs!C:C,"")="",K125,_xlfn.XLOOKUP(L125,CECOs!A:A,CECOs!C:C,""))</f>
        <v>BECHARA, LUCAS ANTONIO</v>
      </c>
      <c r="R125" s="17" t="s">
        <v>38</v>
      </c>
      <c r="S125" s="17" t="s">
        <v>45</v>
      </c>
      <c r="T125" s="17" t="s">
        <v>57</v>
      </c>
      <c r="U125" s="17" t="s">
        <v>94</v>
      </c>
      <c r="V125" s="17" t="s">
        <v>95</v>
      </c>
      <c r="W125" s="17"/>
      <c r="X125" s="17"/>
      <c r="Y125" s="17"/>
      <c r="Z125" s="17"/>
      <c r="AA125" s="17"/>
      <c r="AB125" s="17" t="s">
        <v>49</v>
      </c>
      <c r="AC125" s="17"/>
      <c r="AD125" s="17" t="s">
        <v>50</v>
      </c>
      <c r="AE125" s="17"/>
      <c r="AF125" s="17"/>
      <c r="AG125" s="17"/>
      <c r="AH125" s="17"/>
      <c r="AI125" s="17"/>
      <c r="AJ125" s="17"/>
      <c r="AK125" s="29"/>
    </row>
    <row r="126" spans="1:37" ht="9.9499999999999993">
      <c r="A126" s="29">
        <v>46266</v>
      </c>
      <c r="B126" s="22">
        <v>3393252</v>
      </c>
      <c r="C126" s="17" t="s">
        <v>90</v>
      </c>
      <c r="D126" s="17" t="s">
        <v>38</v>
      </c>
      <c r="E126" s="17" t="s">
        <v>38</v>
      </c>
      <c r="F126" s="17"/>
      <c r="G126" s="17" t="str">
        <f>Table1[[#This Row],[DESCRIPCION_POSICION]]</f>
        <v>Oficial Especializado de Oficios</v>
      </c>
      <c r="H126" s="22" t="s">
        <v>427</v>
      </c>
      <c r="I126" s="17" t="s">
        <v>40</v>
      </c>
      <c r="J126" s="17" t="s">
        <v>68</v>
      </c>
      <c r="K126" s="17" t="s">
        <v>73</v>
      </c>
      <c r="L126" s="36" t="s">
        <v>428</v>
      </c>
      <c r="M126" s="103"/>
      <c r="N126" s="37" t="s">
        <v>429</v>
      </c>
      <c r="O126" s="36" t="str">
        <f>VLOOKUP(L126,CECOs!A:B,2,0)</f>
        <v>Soldadura FP</v>
      </c>
      <c r="P126" s="17" t="str">
        <f>VLOOKUP(B:B,CECOs!G:I,3,FALSE)</f>
        <v>Cuadrillasoldadura-SoldadorO&amp;M</v>
      </c>
      <c r="Q126" s="17" t="str">
        <f>IF(_xlfn.XLOOKUP(L126,CECOs!A:A,CECOs!C:C,"")="",K126,_xlfn.XLOOKUP(L126,CECOs!A:A,CECOs!C:C,""))</f>
        <v>CORDOVA, DANIELA / ALTAMIRANDA, LEANDRO</v>
      </c>
      <c r="R126" s="17" t="s">
        <v>38</v>
      </c>
      <c r="S126" s="17" t="s">
        <v>45</v>
      </c>
      <c r="T126" s="17" t="s">
        <v>57</v>
      </c>
      <c r="U126" s="17" t="s">
        <v>94</v>
      </c>
      <c r="V126" s="17" t="s">
        <v>95</v>
      </c>
      <c r="W126" s="17"/>
      <c r="X126" s="17"/>
      <c r="Y126" s="17"/>
      <c r="Z126" s="17"/>
      <c r="AA126" s="17"/>
      <c r="AB126" s="17" t="s">
        <v>49</v>
      </c>
      <c r="AC126" s="17"/>
      <c r="AD126" s="17" t="s">
        <v>50</v>
      </c>
      <c r="AE126" s="17"/>
      <c r="AF126" s="17"/>
      <c r="AG126" s="17"/>
      <c r="AH126" s="17"/>
      <c r="AI126" s="17"/>
      <c r="AJ126" s="17"/>
      <c r="AK126" s="29"/>
    </row>
    <row r="127" spans="1:37" ht="9.9499999999999993">
      <c r="A127" s="29">
        <v>46266</v>
      </c>
      <c r="B127" s="22">
        <v>3392886</v>
      </c>
      <c r="C127" s="17" t="s">
        <v>332</v>
      </c>
      <c r="D127" s="17" t="s">
        <v>38</v>
      </c>
      <c r="E127" s="17" t="s">
        <v>38</v>
      </c>
      <c r="F127" s="17"/>
      <c r="G127" s="17" t="str">
        <f>Table1[[#This Row],[DESCRIPCION_POSICION]]</f>
        <v>Operador Principal</v>
      </c>
      <c r="H127" s="22" t="s">
        <v>430</v>
      </c>
      <c r="I127" s="17" t="s">
        <v>40</v>
      </c>
      <c r="J127" s="17" t="s">
        <v>68</v>
      </c>
      <c r="K127" s="17" t="s">
        <v>84</v>
      </c>
      <c r="L127" s="36" t="s">
        <v>431</v>
      </c>
      <c r="M127" s="103"/>
      <c r="N127" s="37" t="s">
        <v>432</v>
      </c>
      <c r="O127" s="36" t="str">
        <f>VLOOKUP(L127,CECOs!A:B,2,0)</f>
        <v>Oper. PTA SALA</v>
      </c>
      <c r="P127" s="17" t="str">
        <f>VLOOKUP(B:B,CECOs!G:I,3,FALSE)</f>
        <v>OperadordePlantaconvencional</v>
      </c>
      <c r="Q127" s="17" t="str">
        <f>IF(_xlfn.XLOOKUP(L127,CECOs!A:A,CECOs!C:C,"")="",K127,_xlfn.XLOOKUP(L127,CECOs!A:A,CECOs!C:C,""))</f>
        <v>BECHARA, LUCAS ANTONIO</v>
      </c>
      <c r="R127" s="17" t="s">
        <v>38</v>
      </c>
      <c r="S127" s="17" t="s">
        <v>45</v>
      </c>
      <c r="T127" s="17" t="s">
        <v>61</v>
      </c>
      <c r="U127" s="17" t="s">
        <v>217</v>
      </c>
      <c r="V127" s="17" t="s">
        <v>95</v>
      </c>
      <c r="W127" s="17"/>
      <c r="X127" s="17"/>
      <c r="Y127" s="17"/>
      <c r="Z127" s="17"/>
      <c r="AA127" s="17"/>
      <c r="AB127" s="17" t="s">
        <v>49</v>
      </c>
      <c r="AC127" s="17"/>
      <c r="AD127" s="17" t="s">
        <v>50</v>
      </c>
      <c r="AE127" s="17"/>
      <c r="AF127" s="17"/>
      <c r="AG127" s="17"/>
      <c r="AH127" s="17"/>
      <c r="AI127" s="17"/>
      <c r="AJ127" s="17"/>
      <c r="AK127" s="29"/>
    </row>
    <row r="128" spans="1:37" ht="9.9499999999999993">
      <c r="A128" s="29">
        <v>46266</v>
      </c>
      <c r="B128" s="22">
        <v>3392887</v>
      </c>
      <c r="C128" s="17" t="s">
        <v>332</v>
      </c>
      <c r="D128" s="17" t="s">
        <v>38</v>
      </c>
      <c r="E128" s="17" t="s">
        <v>38</v>
      </c>
      <c r="F128" s="17"/>
      <c r="G128" s="17" t="str">
        <f>Table1[[#This Row],[DESCRIPCION_POSICION]]</f>
        <v>Operador Principal</v>
      </c>
      <c r="H128" s="17" t="s">
        <v>433</v>
      </c>
      <c r="I128" s="17" t="s">
        <v>40</v>
      </c>
      <c r="J128" s="17" t="s">
        <v>68</v>
      </c>
      <c r="K128" s="17" t="s">
        <v>84</v>
      </c>
      <c r="L128" s="36" t="s">
        <v>431</v>
      </c>
      <c r="M128" s="103"/>
      <c r="N128" s="38" t="s">
        <v>434</v>
      </c>
      <c r="O128" s="36" t="str">
        <f>VLOOKUP(L128,CECOs!A:B,2,0)</f>
        <v>Oper. PTA SALA</v>
      </c>
      <c r="P128" s="17" t="str">
        <f>VLOOKUP(B:B,CECOs!G:I,3,FALSE)</f>
        <v>OperadordePlantaconvencional</v>
      </c>
      <c r="Q128" s="17" t="str">
        <f>IF(_xlfn.XLOOKUP(L128,CECOs!A:A,CECOs!C:C,"")="",K128,_xlfn.XLOOKUP(L128,CECOs!A:A,CECOs!C:C,""))</f>
        <v>BECHARA, LUCAS ANTONIO</v>
      </c>
      <c r="R128" s="17" t="s">
        <v>38</v>
      </c>
      <c r="S128" s="17" t="s">
        <v>45</v>
      </c>
      <c r="T128" s="17" t="s">
        <v>61</v>
      </c>
      <c r="U128" s="17" t="s">
        <v>217</v>
      </c>
      <c r="V128" s="17" t="s">
        <v>95</v>
      </c>
      <c r="W128" s="17"/>
      <c r="X128" s="17"/>
      <c r="Y128" s="17"/>
      <c r="Z128" s="17"/>
      <c r="AA128" s="17"/>
      <c r="AB128" s="17" t="s">
        <v>49</v>
      </c>
      <c r="AC128" s="17"/>
      <c r="AD128" s="17" t="s">
        <v>50</v>
      </c>
      <c r="AE128" s="17"/>
      <c r="AF128" s="17"/>
      <c r="AG128" s="17"/>
      <c r="AH128" s="17"/>
      <c r="AI128" s="17"/>
      <c r="AJ128" s="17"/>
      <c r="AK128" s="29"/>
    </row>
    <row r="129" spans="1:37" ht="9.9499999999999993">
      <c r="A129" s="29">
        <v>46266</v>
      </c>
      <c r="B129" s="22">
        <v>3392888</v>
      </c>
      <c r="C129" s="17" t="s">
        <v>332</v>
      </c>
      <c r="D129" s="17" t="s">
        <v>38</v>
      </c>
      <c r="E129" s="17" t="s">
        <v>38</v>
      </c>
      <c r="F129" s="17"/>
      <c r="G129" s="17" t="str">
        <f>Table1[[#This Row],[DESCRIPCION_POSICION]]</f>
        <v>Operador Principal</v>
      </c>
      <c r="H129" s="22" t="s">
        <v>435</v>
      </c>
      <c r="I129" s="17" t="s">
        <v>40</v>
      </c>
      <c r="J129" s="17" t="s">
        <v>68</v>
      </c>
      <c r="K129" s="17" t="s">
        <v>84</v>
      </c>
      <c r="L129" s="36" t="s">
        <v>431</v>
      </c>
      <c r="M129" s="103"/>
      <c r="N129" s="37" t="s">
        <v>436</v>
      </c>
      <c r="O129" s="36" t="str">
        <f>VLOOKUP(L129,CECOs!A:B,2,0)</f>
        <v>Oper. PTA SALA</v>
      </c>
      <c r="P129" s="17" t="str">
        <f>VLOOKUP(B:B,CECOs!G:I,3,FALSE)</f>
        <v>OperadordePlantaconvencional</v>
      </c>
      <c r="Q129" s="17" t="str">
        <f>IF(_xlfn.XLOOKUP(L129,CECOs!A:A,CECOs!C:C,"")="",K129,_xlfn.XLOOKUP(L129,CECOs!A:A,CECOs!C:C,""))</f>
        <v>BECHARA, LUCAS ANTONIO</v>
      </c>
      <c r="R129" s="17" t="s">
        <v>38</v>
      </c>
      <c r="S129" s="17" t="s">
        <v>45</v>
      </c>
      <c r="T129" s="17" t="s">
        <v>61</v>
      </c>
      <c r="U129" s="17" t="s">
        <v>217</v>
      </c>
      <c r="V129" s="17" t="s">
        <v>95</v>
      </c>
      <c r="W129" s="17"/>
      <c r="X129" s="17"/>
      <c r="Y129" s="17"/>
      <c r="Z129" s="17"/>
      <c r="AA129" s="17"/>
      <c r="AB129" s="17" t="s">
        <v>49</v>
      </c>
      <c r="AC129" s="17"/>
      <c r="AD129" s="17" t="s">
        <v>50</v>
      </c>
      <c r="AE129" s="17"/>
      <c r="AF129" s="17"/>
      <c r="AG129" s="17"/>
      <c r="AH129" s="17"/>
      <c r="AI129" s="17"/>
      <c r="AJ129" s="17"/>
      <c r="AK129" s="29"/>
    </row>
    <row r="130" spans="1:37" ht="9.9499999999999993">
      <c r="A130" s="29">
        <v>46266</v>
      </c>
      <c r="B130" s="22">
        <v>3392889</v>
      </c>
      <c r="C130" s="17" t="s">
        <v>332</v>
      </c>
      <c r="D130" s="17" t="s">
        <v>38</v>
      </c>
      <c r="E130" s="17" t="s">
        <v>38</v>
      </c>
      <c r="F130" s="17"/>
      <c r="G130" s="17" t="str">
        <f>Table1[[#This Row],[DESCRIPCION_POSICION]]</f>
        <v>Operador Principal</v>
      </c>
      <c r="H130" s="17" t="s">
        <v>437</v>
      </c>
      <c r="I130" s="17" t="s">
        <v>40</v>
      </c>
      <c r="J130" s="17" t="s">
        <v>68</v>
      </c>
      <c r="K130" s="17" t="s">
        <v>84</v>
      </c>
      <c r="L130" s="36" t="s">
        <v>431</v>
      </c>
      <c r="M130" s="103"/>
      <c r="N130" s="38" t="s">
        <v>438</v>
      </c>
      <c r="O130" s="36" t="str">
        <f>VLOOKUP(L130,CECOs!A:B,2,0)</f>
        <v>Oper. PTA SALA</v>
      </c>
      <c r="P130" s="17" t="str">
        <f>VLOOKUP(B:B,CECOs!G:I,3,FALSE)</f>
        <v>OperadordePlantaconvencional</v>
      </c>
      <c r="Q130" s="17" t="str">
        <f>IF(_xlfn.XLOOKUP(L130,CECOs!A:A,CECOs!C:C,"")="",K130,_xlfn.XLOOKUP(L130,CECOs!A:A,CECOs!C:C,""))</f>
        <v>BECHARA, LUCAS ANTONIO</v>
      </c>
      <c r="R130" s="17" t="s">
        <v>38</v>
      </c>
      <c r="S130" s="17" t="s">
        <v>45</v>
      </c>
      <c r="T130" s="17" t="s">
        <v>61</v>
      </c>
      <c r="U130" s="17" t="s">
        <v>217</v>
      </c>
      <c r="V130" s="17" t="s">
        <v>95</v>
      </c>
      <c r="W130" s="17"/>
      <c r="X130" s="17"/>
      <c r="Y130" s="17"/>
      <c r="Z130" s="17"/>
      <c r="AA130" s="17"/>
      <c r="AB130" s="17" t="s">
        <v>49</v>
      </c>
      <c r="AC130" s="17"/>
      <c r="AD130" s="17" t="s">
        <v>50</v>
      </c>
      <c r="AE130" s="17"/>
      <c r="AF130" s="17"/>
      <c r="AG130" s="17"/>
      <c r="AH130" s="17"/>
      <c r="AI130" s="17"/>
      <c r="AJ130" s="17"/>
      <c r="AK130" s="29"/>
    </row>
    <row r="131" spans="1:37" ht="9.9499999999999993">
      <c r="A131" s="29">
        <v>46266</v>
      </c>
      <c r="B131" s="22">
        <v>3392890</v>
      </c>
      <c r="C131" s="17" t="s">
        <v>328</v>
      </c>
      <c r="D131" s="17" t="s">
        <v>38</v>
      </c>
      <c r="E131" s="17" t="s">
        <v>38</v>
      </c>
      <c r="F131" s="17"/>
      <c r="G131" s="17" t="str">
        <f>Table1[[#This Row],[DESCRIPCION_POSICION]]</f>
        <v>Operador Especializado Semi Jr. Plantas</v>
      </c>
      <c r="H131" s="17" t="s">
        <v>439</v>
      </c>
      <c r="I131" s="17" t="s">
        <v>40</v>
      </c>
      <c r="J131" s="17" t="s">
        <v>68</v>
      </c>
      <c r="K131" s="17" t="s">
        <v>84</v>
      </c>
      <c r="L131" s="36" t="s">
        <v>431</v>
      </c>
      <c r="M131" s="103"/>
      <c r="N131" s="38" t="s">
        <v>440</v>
      </c>
      <c r="O131" s="36" t="str">
        <f>VLOOKUP(L131,CECOs!A:B,2,0)</f>
        <v>Oper. PTA SALA</v>
      </c>
      <c r="P131" s="17" t="str">
        <f>VLOOKUP(B:B,CECOs!G:I,3,FALSE)</f>
        <v>OperadordePlantaconvencional</v>
      </c>
      <c r="Q131" s="17" t="str">
        <f>IF(_xlfn.XLOOKUP(L131,CECOs!A:A,CECOs!C:C,"")="",K131,_xlfn.XLOOKUP(L131,CECOs!A:A,CECOs!C:C,""))</f>
        <v>BECHARA, LUCAS ANTONIO</v>
      </c>
      <c r="R131" s="17" t="s">
        <v>38</v>
      </c>
      <c r="S131" s="17" t="s">
        <v>45</v>
      </c>
      <c r="T131" s="17" t="s">
        <v>61</v>
      </c>
      <c r="U131" s="17" t="s">
        <v>217</v>
      </c>
      <c r="V131" s="17" t="s">
        <v>95</v>
      </c>
      <c r="W131" s="17"/>
      <c r="X131" s="17"/>
      <c r="Y131" s="17"/>
      <c r="Z131" s="17"/>
      <c r="AA131" s="17"/>
      <c r="AB131" s="17" t="s">
        <v>49</v>
      </c>
      <c r="AC131" s="17"/>
      <c r="AD131" s="17" t="s">
        <v>50</v>
      </c>
      <c r="AE131" s="17"/>
      <c r="AF131" s="17"/>
      <c r="AG131" s="17"/>
      <c r="AH131" s="17"/>
      <c r="AI131" s="17"/>
      <c r="AJ131" s="17"/>
      <c r="AK131" s="29"/>
    </row>
    <row r="132" spans="1:37" ht="9.9499999999999993">
      <c r="A132" s="29">
        <v>46266</v>
      </c>
      <c r="B132" s="22">
        <v>3392891</v>
      </c>
      <c r="C132" s="17" t="s">
        <v>328</v>
      </c>
      <c r="D132" s="17" t="s">
        <v>38</v>
      </c>
      <c r="E132" s="17" t="s">
        <v>38</v>
      </c>
      <c r="F132" s="17"/>
      <c r="G132" s="17" t="str">
        <f>Table1[[#This Row],[DESCRIPCION_POSICION]]</f>
        <v>Operador Especializado Semi Jr. Plantas</v>
      </c>
      <c r="H132" s="17" t="s">
        <v>441</v>
      </c>
      <c r="I132" s="17" t="s">
        <v>40</v>
      </c>
      <c r="J132" s="17" t="s">
        <v>68</v>
      </c>
      <c r="K132" s="17" t="s">
        <v>84</v>
      </c>
      <c r="L132" s="36" t="s">
        <v>431</v>
      </c>
      <c r="M132" s="103"/>
      <c r="N132" s="38" t="s">
        <v>442</v>
      </c>
      <c r="O132" s="36" t="str">
        <f>VLOOKUP(L132,CECOs!A:B,2,0)</f>
        <v>Oper. PTA SALA</v>
      </c>
      <c r="P132" s="17" t="str">
        <f>VLOOKUP(B:B,CECOs!G:I,3,FALSE)</f>
        <v>OperadordePlantaconvencional</v>
      </c>
      <c r="Q132" s="17" t="str">
        <f>IF(_xlfn.XLOOKUP(L132,CECOs!A:A,CECOs!C:C,"")="",K132,_xlfn.XLOOKUP(L132,CECOs!A:A,CECOs!C:C,""))</f>
        <v>BECHARA, LUCAS ANTONIO</v>
      </c>
      <c r="R132" s="17" t="s">
        <v>38</v>
      </c>
      <c r="S132" s="17" t="s">
        <v>45</v>
      </c>
      <c r="T132" s="17" t="s">
        <v>61</v>
      </c>
      <c r="U132" s="17" t="s">
        <v>217</v>
      </c>
      <c r="V132" s="17" t="s">
        <v>95</v>
      </c>
      <c r="W132" s="17"/>
      <c r="X132" s="17"/>
      <c r="Y132" s="17"/>
      <c r="Z132" s="17"/>
      <c r="AA132" s="17"/>
      <c r="AB132" s="17" t="s">
        <v>49</v>
      </c>
      <c r="AC132" s="17"/>
      <c r="AD132" s="17" t="s">
        <v>50</v>
      </c>
      <c r="AE132" s="17"/>
      <c r="AF132" s="17"/>
      <c r="AG132" s="17"/>
      <c r="AH132" s="17"/>
      <c r="AI132" s="17"/>
      <c r="AJ132" s="17"/>
      <c r="AK132" s="29"/>
    </row>
    <row r="133" spans="1:37" ht="9.9499999999999993">
      <c r="A133" s="29">
        <v>46266</v>
      </c>
      <c r="B133" s="22">
        <v>3392892</v>
      </c>
      <c r="C133" s="17" t="s">
        <v>328</v>
      </c>
      <c r="D133" s="17" t="s">
        <v>38</v>
      </c>
      <c r="E133" s="17" t="s">
        <v>38</v>
      </c>
      <c r="F133" s="17"/>
      <c r="G133" s="17" t="str">
        <f>Table1[[#This Row],[DESCRIPCION_POSICION]]</f>
        <v>Operador Especializado Semi Jr. Plantas</v>
      </c>
      <c r="H133" s="17" t="s">
        <v>443</v>
      </c>
      <c r="I133" s="17" t="s">
        <v>40</v>
      </c>
      <c r="J133" s="17" t="s">
        <v>68</v>
      </c>
      <c r="K133" s="17" t="s">
        <v>84</v>
      </c>
      <c r="L133" s="36" t="s">
        <v>431</v>
      </c>
      <c r="M133" s="103"/>
      <c r="N133" s="38" t="s">
        <v>444</v>
      </c>
      <c r="O133" s="36" t="str">
        <f>VLOOKUP(L133,CECOs!A:B,2,0)</f>
        <v>Oper. PTA SALA</v>
      </c>
      <c r="P133" s="17" t="str">
        <f>VLOOKUP(B:B,CECOs!G:I,3,FALSE)</f>
        <v>OperadordePlantaconvencional</v>
      </c>
      <c r="Q133" s="17" t="str">
        <f>IF(_xlfn.XLOOKUP(L133,CECOs!A:A,CECOs!C:C,"")="",K133,_xlfn.XLOOKUP(L133,CECOs!A:A,CECOs!C:C,""))</f>
        <v>BECHARA, LUCAS ANTONIO</v>
      </c>
      <c r="R133" s="17" t="s">
        <v>38</v>
      </c>
      <c r="S133" s="17" t="s">
        <v>45</v>
      </c>
      <c r="T133" s="17" t="s">
        <v>61</v>
      </c>
      <c r="U133" s="17" t="s">
        <v>217</v>
      </c>
      <c r="V133" s="17" t="s">
        <v>95</v>
      </c>
      <c r="W133" s="17"/>
      <c r="X133" s="17"/>
      <c r="Y133" s="17"/>
      <c r="Z133" s="17"/>
      <c r="AA133" s="17"/>
      <c r="AB133" s="17" t="s">
        <v>49</v>
      </c>
      <c r="AC133" s="17"/>
      <c r="AD133" s="17" t="s">
        <v>50</v>
      </c>
      <c r="AE133" s="17"/>
      <c r="AF133" s="17"/>
      <c r="AG133" s="17"/>
      <c r="AH133" s="17"/>
      <c r="AI133" s="17"/>
      <c r="AJ133" s="17"/>
      <c r="AK133" s="29"/>
    </row>
    <row r="134" spans="1:37" ht="9.9499999999999993">
      <c r="A134" s="29">
        <v>46266</v>
      </c>
      <c r="B134" s="22">
        <v>3392893</v>
      </c>
      <c r="C134" s="17" t="s">
        <v>328</v>
      </c>
      <c r="D134" s="17" t="s">
        <v>38</v>
      </c>
      <c r="E134" s="17" t="s">
        <v>38</v>
      </c>
      <c r="F134" s="17"/>
      <c r="G134" s="17" t="str">
        <f>Table1[[#This Row],[DESCRIPCION_POSICION]]</f>
        <v>Operador Especializado Semi Jr. Plantas</v>
      </c>
      <c r="H134" s="17" t="s">
        <v>445</v>
      </c>
      <c r="I134" s="17" t="s">
        <v>40</v>
      </c>
      <c r="J134" s="17" t="s">
        <v>68</v>
      </c>
      <c r="K134" s="17" t="s">
        <v>84</v>
      </c>
      <c r="L134" s="36" t="s">
        <v>431</v>
      </c>
      <c r="M134" s="103"/>
      <c r="N134" s="38" t="s">
        <v>446</v>
      </c>
      <c r="O134" s="36" t="str">
        <f>VLOOKUP(L134,CECOs!A:B,2,0)</f>
        <v>Oper. PTA SALA</v>
      </c>
      <c r="P134" s="17" t="str">
        <f>VLOOKUP(B:B,CECOs!G:I,3,FALSE)</f>
        <v>OperadordePlantaconvencional</v>
      </c>
      <c r="Q134" s="17" t="str">
        <f>IF(_xlfn.XLOOKUP(L134,CECOs!A:A,CECOs!C:C,"")="",K134,_xlfn.XLOOKUP(L134,CECOs!A:A,CECOs!C:C,""))</f>
        <v>BECHARA, LUCAS ANTONIO</v>
      </c>
      <c r="R134" s="17" t="s">
        <v>38</v>
      </c>
      <c r="S134" s="17" t="s">
        <v>45</v>
      </c>
      <c r="T134" s="17" t="s">
        <v>61</v>
      </c>
      <c r="U134" s="17" t="s">
        <v>217</v>
      </c>
      <c r="V134" s="17" t="s">
        <v>95</v>
      </c>
      <c r="W134" s="17"/>
      <c r="X134" s="17"/>
      <c r="Y134" s="17"/>
      <c r="Z134" s="17"/>
      <c r="AA134" s="17"/>
      <c r="AB134" s="17" t="s">
        <v>49</v>
      </c>
      <c r="AC134" s="17"/>
      <c r="AD134" s="17" t="s">
        <v>50</v>
      </c>
      <c r="AE134" s="17"/>
      <c r="AF134" s="17"/>
      <c r="AG134" s="17"/>
      <c r="AH134" s="17"/>
      <c r="AI134" s="17"/>
      <c r="AJ134" s="17"/>
      <c r="AK134" s="29"/>
    </row>
    <row r="135" spans="1:37" ht="9.9499999999999993">
      <c r="A135" s="29">
        <v>46266</v>
      </c>
      <c r="B135" s="22">
        <v>3392894</v>
      </c>
      <c r="C135" s="17" t="s">
        <v>447</v>
      </c>
      <c r="D135" s="17" t="s">
        <v>38</v>
      </c>
      <c r="E135" s="17" t="s">
        <v>38</v>
      </c>
      <c r="F135" s="17"/>
      <c r="G135" s="17" t="str">
        <f>Table1[[#This Row],[DESCRIPCION_POSICION]]</f>
        <v> Recorredor Especializado</v>
      </c>
      <c r="H135" s="40" t="s">
        <v>448</v>
      </c>
      <c r="I135" s="17" t="s">
        <v>40</v>
      </c>
      <c r="J135" s="17" t="s">
        <v>68</v>
      </c>
      <c r="K135" s="17" t="s">
        <v>84</v>
      </c>
      <c r="L135" s="36" t="s">
        <v>449</v>
      </c>
      <c r="M135" s="103"/>
      <c r="N135" s="38" t="s">
        <v>450</v>
      </c>
      <c r="O135" s="36" t="str">
        <f>VLOOKUP(L135,CECOs!A:B,2,0)</f>
        <v>Oper campo SALA</v>
      </c>
      <c r="P135" s="17" t="str">
        <f>VLOOKUP(B:B,CECOs!G:I,3,FALSE)</f>
        <v>OperadordeCampo</v>
      </c>
      <c r="Q135" s="17" t="str">
        <f>IF(_xlfn.XLOOKUP(L135,CECOs!A:A,CECOs!C:C,"")="",K135,_xlfn.XLOOKUP(L135,CECOs!A:A,CECOs!C:C,""))</f>
        <v>BECHARA, LUCAS ANTONIO</v>
      </c>
      <c r="R135" s="17" t="s">
        <v>38</v>
      </c>
      <c r="S135" s="17" t="s">
        <v>45</v>
      </c>
      <c r="T135" s="17" t="s">
        <v>61</v>
      </c>
      <c r="U135" s="17" t="s">
        <v>217</v>
      </c>
      <c r="V135" s="17" t="s">
        <v>95</v>
      </c>
      <c r="W135" s="17"/>
      <c r="X135" s="17"/>
      <c r="Y135" s="17"/>
      <c r="Z135" s="17"/>
      <c r="AA135" s="17"/>
      <c r="AB135" s="17" t="s">
        <v>49</v>
      </c>
      <c r="AC135" s="17"/>
      <c r="AD135" s="17" t="s">
        <v>50</v>
      </c>
      <c r="AE135" s="17"/>
      <c r="AF135" s="17"/>
      <c r="AG135" s="17"/>
      <c r="AH135" s="17"/>
      <c r="AI135" s="17"/>
      <c r="AJ135" s="17"/>
      <c r="AK135" s="29"/>
    </row>
    <row r="136" spans="1:37" ht="9.9499999999999993">
      <c r="A136" s="29">
        <v>46266</v>
      </c>
      <c r="B136" s="22">
        <v>3392895</v>
      </c>
      <c r="C136" s="17" t="s">
        <v>422</v>
      </c>
      <c r="D136" s="17" t="s">
        <v>38</v>
      </c>
      <c r="E136" s="17" t="s">
        <v>38</v>
      </c>
      <c r="F136" s="17"/>
      <c r="G136" s="17" t="str">
        <f>Table1[[#This Row],[DESCRIPCION_POSICION]]</f>
        <v>Oficial Sr. de Oficios</v>
      </c>
      <c r="H136" s="17" t="s">
        <v>451</v>
      </c>
      <c r="I136" s="17" t="s">
        <v>40</v>
      </c>
      <c r="J136" s="17" t="s">
        <v>68</v>
      </c>
      <c r="K136" s="17" t="s">
        <v>84</v>
      </c>
      <c r="L136" s="36" t="s">
        <v>452</v>
      </c>
      <c r="M136" s="103"/>
      <c r="N136" s="38" t="s">
        <v>453</v>
      </c>
      <c r="O136" s="36" t="str">
        <f>VLOOKUP(L136,CECOs!A:B,2,0)</f>
        <v>Tareas Generales Prod SALA</v>
      </c>
      <c r="P136" s="17" t="str">
        <f>VLOOKUP(B:B,CECOs!G:I,3,FALSE)</f>
        <v>Tareasgenerales</v>
      </c>
      <c r="Q136" s="17" t="str">
        <f>IF(_xlfn.XLOOKUP(L136,CECOs!A:A,CECOs!C:C,"")="",K136,_xlfn.XLOOKUP(L136,CECOs!A:A,CECOs!C:C,""))</f>
        <v>BECHARA, LUCAS ANTONIO</v>
      </c>
      <c r="R136" s="17" t="s">
        <v>38</v>
      </c>
      <c r="S136" s="17" t="s">
        <v>45</v>
      </c>
      <c r="T136" s="17" t="s">
        <v>61</v>
      </c>
      <c r="U136" s="17" t="s">
        <v>217</v>
      </c>
      <c r="V136" s="17" t="s">
        <v>95</v>
      </c>
      <c r="W136" s="17"/>
      <c r="X136" s="17"/>
      <c r="Y136" s="17"/>
      <c r="Z136" s="17"/>
      <c r="AA136" s="17"/>
      <c r="AB136" s="17" t="s">
        <v>49</v>
      </c>
      <c r="AC136" s="17"/>
      <c r="AD136" s="17" t="s">
        <v>50</v>
      </c>
      <c r="AE136" s="17"/>
      <c r="AF136" s="17"/>
      <c r="AG136" s="17"/>
      <c r="AH136" s="17"/>
      <c r="AI136" s="17"/>
      <c r="AJ136" s="17"/>
      <c r="AK136" s="29"/>
    </row>
    <row r="137" spans="1:37" ht="9.9499999999999993">
      <c r="A137" s="29">
        <v>46266</v>
      </c>
      <c r="B137" s="22">
        <v>3392897</v>
      </c>
      <c r="C137" s="17" t="s">
        <v>363</v>
      </c>
      <c r="D137" s="17" t="s">
        <v>38</v>
      </c>
      <c r="E137" s="17" t="s">
        <v>38</v>
      </c>
      <c r="F137" s="17"/>
      <c r="G137" s="17" t="str">
        <f>Table1[[#This Row],[DESCRIPCION_POSICION]]</f>
        <v>Ayudante de Plantas</v>
      </c>
      <c r="H137" s="93"/>
      <c r="I137" s="17" t="s">
        <v>40</v>
      </c>
      <c r="J137" s="17" t="s">
        <v>68</v>
      </c>
      <c r="K137" s="17" t="s">
        <v>84</v>
      </c>
      <c r="L137" s="36" t="s">
        <v>452</v>
      </c>
      <c r="M137" s="103"/>
      <c r="N137" s="84" t="s">
        <v>454</v>
      </c>
      <c r="O137" s="36" t="str">
        <f>VLOOKUP(L137,CECOs!A:B,2,0)</f>
        <v>Tareas Generales Prod SALA</v>
      </c>
      <c r="P137" s="17" t="str">
        <f>VLOOKUP(B:B,CECOs!G:I,3,FALSE)</f>
        <v>Tareasgenerales</v>
      </c>
      <c r="Q137" s="17" t="str">
        <f>IF(_xlfn.XLOOKUP(L137,CECOs!A:A,CECOs!C:C,"")="",K137,_xlfn.XLOOKUP(L137,CECOs!A:A,CECOs!C:C,""))</f>
        <v>BECHARA, LUCAS ANTONIO</v>
      </c>
      <c r="R137" s="17" t="s">
        <v>38</v>
      </c>
      <c r="S137" s="17" t="s">
        <v>45</v>
      </c>
      <c r="T137" s="17" t="s">
        <v>61</v>
      </c>
      <c r="U137" s="17" t="s">
        <v>217</v>
      </c>
      <c r="V137" s="17" t="s">
        <v>95</v>
      </c>
      <c r="W137" s="17"/>
      <c r="X137" s="17"/>
      <c r="Y137" s="17"/>
      <c r="Z137" s="17"/>
      <c r="AA137" s="17"/>
      <c r="AB137" s="17" t="s">
        <v>49</v>
      </c>
      <c r="AC137" s="17"/>
      <c r="AD137" s="17" t="s">
        <v>50</v>
      </c>
      <c r="AE137" s="17"/>
      <c r="AF137" s="17"/>
      <c r="AG137" s="17"/>
      <c r="AH137" s="17"/>
      <c r="AI137" s="17"/>
      <c r="AJ137" s="17"/>
      <c r="AK137" s="29"/>
    </row>
    <row r="138" spans="1:37" ht="9.9499999999999993">
      <c r="A138" s="29">
        <v>46266</v>
      </c>
      <c r="B138" s="22">
        <v>3392899</v>
      </c>
      <c r="C138" s="17" t="s">
        <v>213</v>
      </c>
      <c r="D138" s="17" t="s">
        <v>38</v>
      </c>
      <c r="E138" s="17" t="s">
        <v>38</v>
      </c>
      <c r="F138" s="17"/>
      <c r="G138" s="17" t="str">
        <f>Table1[[#This Row],[DESCRIPCION_POSICION]]</f>
        <v>Recorredor Especializado</v>
      </c>
      <c r="H138" s="22" t="s">
        <v>455</v>
      </c>
      <c r="I138" s="17" t="s">
        <v>40</v>
      </c>
      <c r="J138" s="17" t="s">
        <v>68</v>
      </c>
      <c r="K138" s="17" t="s">
        <v>84</v>
      </c>
      <c r="L138" s="36" t="s">
        <v>449</v>
      </c>
      <c r="M138" s="103"/>
      <c r="N138" s="37" t="s">
        <v>456</v>
      </c>
      <c r="O138" s="36" t="str">
        <f>VLOOKUP(L138,CECOs!A:B,2,0)</f>
        <v>Oper campo SALA</v>
      </c>
      <c r="P138" s="17" t="str">
        <f>VLOOKUP(B:B,CECOs!G:I,3,FALSE)</f>
        <v>OperadordeCampo</v>
      </c>
      <c r="Q138" s="17" t="str">
        <f>IF(_xlfn.XLOOKUP(L138,CECOs!A:A,CECOs!C:C,"")="",K138,_xlfn.XLOOKUP(L138,CECOs!A:A,CECOs!C:C,""))</f>
        <v>BECHARA, LUCAS ANTONIO</v>
      </c>
      <c r="R138" s="17" t="s">
        <v>38</v>
      </c>
      <c r="S138" s="17" t="s">
        <v>45</v>
      </c>
      <c r="T138" s="17" t="s">
        <v>61</v>
      </c>
      <c r="U138" s="17" t="s">
        <v>217</v>
      </c>
      <c r="V138" s="17" t="s">
        <v>95</v>
      </c>
      <c r="W138" s="17"/>
      <c r="X138" s="17"/>
      <c r="Y138" s="17"/>
      <c r="Z138" s="17"/>
      <c r="AA138" s="17"/>
      <c r="AB138" s="17" t="s">
        <v>49</v>
      </c>
      <c r="AC138" s="17"/>
      <c r="AD138" s="17" t="s">
        <v>50</v>
      </c>
      <c r="AE138" s="17"/>
      <c r="AF138" s="17"/>
      <c r="AG138" s="17"/>
      <c r="AH138" s="17"/>
      <c r="AI138" s="17"/>
      <c r="AJ138" s="17"/>
      <c r="AK138" s="29"/>
    </row>
    <row r="139" spans="1:37" ht="9.9499999999999993">
      <c r="A139" s="29">
        <v>46266</v>
      </c>
      <c r="B139" s="22">
        <v>3392900</v>
      </c>
      <c r="C139" s="17" t="s">
        <v>213</v>
      </c>
      <c r="D139" s="17" t="s">
        <v>38</v>
      </c>
      <c r="E139" s="17" t="s">
        <v>38</v>
      </c>
      <c r="F139" s="17"/>
      <c r="G139" s="17" t="str">
        <f>Table1[[#This Row],[DESCRIPCION_POSICION]]</f>
        <v>Recorredor Especializado</v>
      </c>
      <c r="H139" s="17" t="s">
        <v>457</v>
      </c>
      <c r="I139" s="17" t="s">
        <v>40</v>
      </c>
      <c r="J139" s="17" t="s">
        <v>68</v>
      </c>
      <c r="K139" s="17" t="s">
        <v>84</v>
      </c>
      <c r="L139" s="36" t="s">
        <v>449</v>
      </c>
      <c r="M139" s="103"/>
      <c r="N139" s="38" t="s">
        <v>458</v>
      </c>
      <c r="O139" s="36" t="str">
        <f>VLOOKUP(L139,CECOs!A:B,2,0)</f>
        <v>Oper campo SALA</v>
      </c>
      <c r="P139" s="17" t="str">
        <f>VLOOKUP(B:B,CECOs!G:I,3,FALSE)</f>
        <v>OperadordeCampo</v>
      </c>
      <c r="Q139" s="17" t="str">
        <f>IF(_xlfn.XLOOKUP(L139,CECOs!A:A,CECOs!C:C,"")="",K139,_xlfn.XLOOKUP(L139,CECOs!A:A,CECOs!C:C,""))</f>
        <v>BECHARA, LUCAS ANTONIO</v>
      </c>
      <c r="R139" s="17" t="s">
        <v>38</v>
      </c>
      <c r="S139" s="17" t="s">
        <v>45</v>
      </c>
      <c r="T139" s="17" t="s">
        <v>61</v>
      </c>
      <c r="U139" s="17" t="s">
        <v>217</v>
      </c>
      <c r="V139" s="17" t="s">
        <v>95</v>
      </c>
      <c r="W139" s="17"/>
      <c r="X139" s="17"/>
      <c r="Y139" s="17"/>
      <c r="Z139" s="17"/>
      <c r="AA139" s="17"/>
      <c r="AB139" s="17" t="s">
        <v>49</v>
      </c>
      <c r="AC139" s="17"/>
      <c r="AD139" s="17" t="s">
        <v>50</v>
      </c>
      <c r="AE139" s="17"/>
      <c r="AF139" s="17"/>
      <c r="AG139" s="17"/>
      <c r="AH139" s="17"/>
      <c r="AI139" s="17"/>
      <c r="AJ139" s="17"/>
      <c r="AK139" s="29"/>
    </row>
    <row r="140" spans="1:37" ht="9.9499999999999993">
      <c r="A140" s="29">
        <v>46266</v>
      </c>
      <c r="B140" s="22">
        <v>3392901</v>
      </c>
      <c r="C140" s="17" t="s">
        <v>213</v>
      </c>
      <c r="D140" s="17" t="s">
        <v>38</v>
      </c>
      <c r="E140" s="17" t="s">
        <v>38</v>
      </c>
      <c r="F140" s="17"/>
      <c r="G140" s="17" t="str">
        <f>Table1[[#This Row],[DESCRIPCION_POSICION]]</f>
        <v>Recorredor Especializado</v>
      </c>
      <c r="H140" s="22" t="s">
        <v>459</v>
      </c>
      <c r="I140" s="17" t="s">
        <v>40</v>
      </c>
      <c r="J140" s="17" t="s">
        <v>68</v>
      </c>
      <c r="K140" s="17" t="s">
        <v>84</v>
      </c>
      <c r="L140" s="36" t="s">
        <v>449</v>
      </c>
      <c r="M140" s="103"/>
      <c r="N140" s="37" t="s">
        <v>460</v>
      </c>
      <c r="O140" s="36" t="str">
        <f>VLOOKUP(L140,CECOs!A:B,2,0)</f>
        <v>Oper campo SALA</v>
      </c>
      <c r="P140" s="17" t="str">
        <f>VLOOKUP(B:B,CECOs!G:I,3,FALSE)</f>
        <v>OperadordeCampo</v>
      </c>
      <c r="Q140" s="17" t="str">
        <f>IF(_xlfn.XLOOKUP(L140,CECOs!A:A,CECOs!C:C,"")="",K140,_xlfn.XLOOKUP(L140,CECOs!A:A,CECOs!C:C,""))</f>
        <v>BECHARA, LUCAS ANTONIO</v>
      </c>
      <c r="R140" s="17" t="s">
        <v>38</v>
      </c>
      <c r="S140" s="17" t="s">
        <v>45</v>
      </c>
      <c r="T140" s="17" t="s">
        <v>61</v>
      </c>
      <c r="U140" s="17" t="s">
        <v>217</v>
      </c>
      <c r="V140" s="17" t="s">
        <v>95</v>
      </c>
      <c r="W140" s="17"/>
      <c r="X140" s="17"/>
      <c r="Y140" s="17"/>
      <c r="Z140" s="17"/>
      <c r="AA140" s="17"/>
      <c r="AB140" s="17" t="s">
        <v>49</v>
      </c>
      <c r="AC140" s="17"/>
      <c r="AD140" s="17" t="s">
        <v>50</v>
      </c>
      <c r="AE140" s="17"/>
      <c r="AF140" s="17"/>
      <c r="AG140" s="17"/>
      <c r="AH140" s="17"/>
      <c r="AI140" s="17"/>
      <c r="AJ140" s="17"/>
      <c r="AK140" s="29"/>
    </row>
    <row r="141" spans="1:37" ht="9.9499999999999993">
      <c r="A141" s="29">
        <v>46266</v>
      </c>
      <c r="B141" s="22">
        <v>3392902</v>
      </c>
      <c r="C141" s="17" t="s">
        <v>213</v>
      </c>
      <c r="D141" s="17" t="s">
        <v>38</v>
      </c>
      <c r="E141" s="17" t="s">
        <v>38</v>
      </c>
      <c r="F141" s="17"/>
      <c r="G141" s="17" t="str">
        <f>Table1[[#This Row],[DESCRIPCION_POSICION]]</f>
        <v>Recorredor Especializado</v>
      </c>
      <c r="H141" s="17" t="s">
        <v>461</v>
      </c>
      <c r="I141" s="17" t="s">
        <v>40</v>
      </c>
      <c r="J141" s="17" t="s">
        <v>68</v>
      </c>
      <c r="K141" s="17" t="s">
        <v>84</v>
      </c>
      <c r="L141" s="36" t="s">
        <v>449</v>
      </c>
      <c r="M141" s="103"/>
      <c r="N141" s="38" t="s">
        <v>462</v>
      </c>
      <c r="O141" s="36" t="str">
        <f>VLOOKUP(L141,CECOs!A:B,2,0)</f>
        <v>Oper campo SALA</v>
      </c>
      <c r="P141" s="17" t="str">
        <f>VLOOKUP(B:B,CECOs!G:I,3,FALSE)</f>
        <v>OperadordeCampo</v>
      </c>
      <c r="Q141" s="17" t="str">
        <f>IF(_xlfn.XLOOKUP(L141,CECOs!A:A,CECOs!C:C,"")="",K141,_xlfn.XLOOKUP(L141,CECOs!A:A,CECOs!C:C,""))</f>
        <v>BECHARA, LUCAS ANTONIO</v>
      </c>
      <c r="R141" s="17" t="s">
        <v>38</v>
      </c>
      <c r="S141" s="17" t="s">
        <v>45</v>
      </c>
      <c r="T141" s="17" t="s">
        <v>61</v>
      </c>
      <c r="U141" s="17" t="s">
        <v>217</v>
      </c>
      <c r="V141" s="17" t="s">
        <v>95</v>
      </c>
      <c r="W141" s="17"/>
      <c r="X141" s="17"/>
      <c r="Y141" s="17"/>
      <c r="Z141" s="17"/>
      <c r="AA141" s="17"/>
      <c r="AB141" s="17" t="s">
        <v>49</v>
      </c>
      <c r="AC141" s="17"/>
      <c r="AD141" s="17" t="s">
        <v>50</v>
      </c>
      <c r="AE141" s="17"/>
      <c r="AF141" s="17"/>
      <c r="AG141" s="17"/>
      <c r="AH141" s="17"/>
      <c r="AI141" s="17"/>
      <c r="AJ141" s="17"/>
      <c r="AK141" s="29"/>
    </row>
    <row r="142" spans="1:37" ht="9.9499999999999993">
      <c r="A142" s="29">
        <v>46266</v>
      </c>
      <c r="B142" s="22">
        <v>3392903</v>
      </c>
      <c r="C142" s="17" t="s">
        <v>213</v>
      </c>
      <c r="D142" s="17" t="s">
        <v>38</v>
      </c>
      <c r="E142" s="17" t="s">
        <v>38</v>
      </c>
      <c r="F142" s="17"/>
      <c r="G142" s="17" t="str">
        <f>Table1[[#This Row],[DESCRIPCION_POSICION]]</f>
        <v>Recorredor Especializado</v>
      </c>
      <c r="H142" s="22" t="s">
        <v>463</v>
      </c>
      <c r="I142" s="17" t="s">
        <v>40</v>
      </c>
      <c r="J142" s="17" t="s">
        <v>68</v>
      </c>
      <c r="K142" s="17" t="s">
        <v>84</v>
      </c>
      <c r="L142" s="36" t="s">
        <v>449</v>
      </c>
      <c r="M142" s="103"/>
      <c r="N142" s="37" t="s">
        <v>464</v>
      </c>
      <c r="O142" s="36" t="str">
        <f>VLOOKUP(L142,CECOs!A:B,2,0)</f>
        <v>Oper campo SALA</v>
      </c>
      <c r="P142" s="17" t="str">
        <f>VLOOKUP(B:B,CECOs!G:I,3,FALSE)</f>
        <v>OperadordeCampo</v>
      </c>
      <c r="Q142" s="17" t="str">
        <f>IF(_xlfn.XLOOKUP(L142,CECOs!A:A,CECOs!C:C,"")="",K142,_xlfn.XLOOKUP(L142,CECOs!A:A,CECOs!C:C,""))</f>
        <v>BECHARA, LUCAS ANTONIO</v>
      </c>
      <c r="R142" s="17" t="s">
        <v>38</v>
      </c>
      <c r="S142" s="17" t="s">
        <v>45</v>
      </c>
      <c r="T142" s="17" t="s">
        <v>61</v>
      </c>
      <c r="U142" s="17" t="s">
        <v>217</v>
      </c>
      <c r="V142" s="17" t="s">
        <v>95</v>
      </c>
      <c r="W142" s="17"/>
      <c r="X142" s="17"/>
      <c r="Y142" s="17"/>
      <c r="Z142" s="17"/>
      <c r="AA142" s="17"/>
      <c r="AB142" s="17" t="s">
        <v>49</v>
      </c>
      <c r="AC142" s="17"/>
      <c r="AD142" s="17" t="s">
        <v>50</v>
      </c>
      <c r="AE142" s="17"/>
      <c r="AF142" s="17"/>
      <c r="AG142" s="17"/>
      <c r="AH142" s="17"/>
      <c r="AI142" s="17"/>
      <c r="AJ142" s="17"/>
      <c r="AK142" s="29"/>
    </row>
    <row r="143" spans="1:37" ht="9.9499999999999993">
      <c r="A143" s="29">
        <v>46266</v>
      </c>
      <c r="B143" s="22">
        <v>3392904</v>
      </c>
      <c r="C143" s="17" t="s">
        <v>213</v>
      </c>
      <c r="D143" s="17" t="s">
        <v>38</v>
      </c>
      <c r="E143" s="17" t="s">
        <v>38</v>
      </c>
      <c r="F143" s="17"/>
      <c r="G143" s="17" t="str">
        <f>Table1[[#This Row],[DESCRIPCION_POSICION]]</f>
        <v>Recorredor Especializado</v>
      </c>
      <c r="H143" s="17" t="s">
        <v>465</v>
      </c>
      <c r="I143" s="17" t="s">
        <v>40</v>
      </c>
      <c r="J143" s="17" t="s">
        <v>68</v>
      </c>
      <c r="K143" s="17" t="s">
        <v>84</v>
      </c>
      <c r="L143" s="36" t="s">
        <v>449</v>
      </c>
      <c r="M143" s="103"/>
      <c r="N143" s="38" t="s">
        <v>466</v>
      </c>
      <c r="O143" s="36" t="str">
        <f>VLOOKUP(L143,CECOs!A:B,2,0)</f>
        <v>Oper campo SALA</v>
      </c>
      <c r="P143" s="17" t="str">
        <f>VLOOKUP(B:B,CECOs!G:I,3,FALSE)</f>
        <v>OperadordeCampo</v>
      </c>
      <c r="Q143" s="17" t="str">
        <f>IF(_xlfn.XLOOKUP(L143,CECOs!A:A,CECOs!C:C,"")="",K143,_xlfn.XLOOKUP(L143,CECOs!A:A,CECOs!C:C,""))</f>
        <v>BECHARA, LUCAS ANTONIO</v>
      </c>
      <c r="R143" s="17" t="s">
        <v>38</v>
      </c>
      <c r="S143" s="17" t="s">
        <v>45</v>
      </c>
      <c r="T143" s="17" t="s">
        <v>61</v>
      </c>
      <c r="U143" s="17" t="s">
        <v>217</v>
      </c>
      <c r="V143" s="17" t="s">
        <v>95</v>
      </c>
      <c r="W143" s="17"/>
      <c r="X143" s="17"/>
      <c r="Y143" s="17"/>
      <c r="Z143" s="17"/>
      <c r="AA143" s="17"/>
      <c r="AB143" s="17" t="s">
        <v>49</v>
      </c>
      <c r="AC143" s="17"/>
      <c r="AD143" s="17" t="s">
        <v>50</v>
      </c>
      <c r="AE143" s="17"/>
      <c r="AF143" s="17"/>
      <c r="AG143" s="17"/>
      <c r="AH143" s="17"/>
      <c r="AI143" s="17"/>
      <c r="AJ143" s="17"/>
      <c r="AK143" s="29"/>
    </row>
    <row r="144" spans="1:37" ht="9.9499999999999993">
      <c r="A144" s="29">
        <v>46266</v>
      </c>
      <c r="B144" s="22">
        <v>3392905</v>
      </c>
      <c r="C144" s="17" t="s">
        <v>213</v>
      </c>
      <c r="D144" s="17" t="s">
        <v>38</v>
      </c>
      <c r="E144" s="17" t="s">
        <v>38</v>
      </c>
      <c r="F144" s="17"/>
      <c r="G144" s="17" t="str">
        <f>Table1[[#This Row],[DESCRIPCION_POSICION]]</f>
        <v>Recorredor Especializado</v>
      </c>
      <c r="H144" s="22" t="s">
        <v>467</v>
      </c>
      <c r="I144" s="17" t="s">
        <v>40</v>
      </c>
      <c r="J144" s="17" t="s">
        <v>68</v>
      </c>
      <c r="K144" s="17" t="s">
        <v>84</v>
      </c>
      <c r="L144" s="36" t="s">
        <v>449</v>
      </c>
      <c r="M144" s="103"/>
      <c r="N144" s="37" t="s">
        <v>468</v>
      </c>
      <c r="O144" s="36" t="str">
        <f>VLOOKUP(L144,CECOs!A:B,2,0)</f>
        <v>Oper campo SALA</v>
      </c>
      <c r="P144" s="17" t="str">
        <f>VLOOKUP(B:B,CECOs!G:I,3,FALSE)</f>
        <v>OperadordeCampo</v>
      </c>
      <c r="Q144" s="17" t="str">
        <f>IF(_xlfn.XLOOKUP(L144,CECOs!A:A,CECOs!C:C,"")="",K144,_xlfn.XLOOKUP(L144,CECOs!A:A,CECOs!C:C,""))</f>
        <v>BECHARA, LUCAS ANTONIO</v>
      </c>
      <c r="R144" s="17" t="s">
        <v>38</v>
      </c>
      <c r="S144" s="17" t="s">
        <v>45</v>
      </c>
      <c r="T144" s="17" t="s">
        <v>61</v>
      </c>
      <c r="U144" s="17" t="s">
        <v>217</v>
      </c>
      <c r="V144" s="17" t="s">
        <v>95</v>
      </c>
      <c r="W144" s="17"/>
      <c r="X144" s="17"/>
      <c r="Y144" s="17"/>
      <c r="Z144" s="17"/>
      <c r="AA144" s="17"/>
      <c r="AB144" s="17" t="s">
        <v>49</v>
      </c>
      <c r="AC144" s="17"/>
      <c r="AD144" s="17" t="s">
        <v>50</v>
      </c>
      <c r="AE144" s="17"/>
      <c r="AF144" s="17"/>
      <c r="AG144" s="17"/>
      <c r="AH144" s="17"/>
      <c r="AI144" s="17"/>
      <c r="AJ144" s="17"/>
      <c r="AK144" s="29"/>
    </row>
    <row r="145" spans="1:37" ht="9.9499999999999993">
      <c r="A145" s="29">
        <v>46266</v>
      </c>
      <c r="B145" s="22">
        <v>3392906</v>
      </c>
      <c r="C145" s="17" t="s">
        <v>213</v>
      </c>
      <c r="D145" s="17" t="s">
        <v>38</v>
      </c>
      <c r="E145" s="17" t="s">
        <v>38</v>
      </c>
      <c r="F145" s="17"/>
      <c r="G145" s="17" t="str">
        <f>Table1[[#This Row],[DESCRIPCION_POSICION]]</f>
        <v>Recorredor Especializado</v>
      </c>
      <c r="H145" s="17" t="s">
        <v>469</v>
      </c>
      <c r="I145" s="17" t="s">
        <v>40</v>
      </c>
      <c r="J145" s="17" t="s">
        <v>68</v>
      </c>
      <c r="K145" s="17" t="s">
        <v>84</v>
      </c>
      <c r="L145" s="36" t="s">
        <v>449</v>
      </c>
      <c r="M145" s="103"/>
      <c r="N145" s="38" t="s">
        <v>470</v>
      </c>
      <c r="O145" s="36" t="str">
        <f>VLOOKUP(L145,CECOs!A:B,2,0)</f>
        <v>Oper campo SALA</v>
      </c>
      <c r="P145" s="17" t="str">
        <f>VLOOKUP(B:B,CECOs!G:I,3,FALSE)</f>
        <v>OperadordeCampo</v>
      </c>
      <c r="Q145" s="17" t="str">
        <f>IF(_xlfn.XLOOKUP(L145,CECOs!A:A,CECOs!C:C,"")="",K145,_xlfn.XLOOKUP(L145,CECOs!A:A,CECOs!C:C,""))</f>
        <v>BECHARA, LUCAS ANTONIO</v>
      </c>
      <c r="R145" s="17" t="s">
        <v>38</v>
      </c>
      <c r="S145" s="17" t="s">
        <v>45</v>
      </c>
      <c r="T145" s="17" t="s">
        <v>61</v>
      </c>
      <c r="U145" s="17" t="s">
        <v>217</v>
      </c>
      <c r="V145" s="17" t="s">
        <v>95</v>
      </c>
      <c r="W145" s="17"/>
      <c r="X145" s="17"/>
      <c r="Y145" s="17"/>
      <c r="Z145" s="17"/>
      <c r="AA145" s="17"/>
      <c r="AB145" s="17" t="s">
        <v>49</v>
      </c>
      <c r="AC145" s="17"/>
      <c r="AD145" s="17" t="s">
        <v>50</v>
      </c>
      <c r="AE145" s="17"/>
      <c r="AF145" s="17"/>
      <c r="AG145" s="17"/>
      <c r="AH145" s="17"/>
      <c r="AI145" s="17"/>
      <c r="AJ145" s="17"/>
      <c r="AK145" s="29"/>
    </row>
    <row r="146" spans="1:37" ht="9.9499999999999993">
      <c r="A146" s="29">
        <v>46266</v>
      </c>
      <c r="B146" s="22">
        <v>3392907</v>
      </c>
      <c r="C146" s="17" t="s">
        <v>213</v>
      </c>
      <c r="D146" s="17" t="s">
        <v>38</v>
      </c>
      <c r="E146" s="17" t="s">
        <v>38</v>
      </c>
      <c r="F146" s="17"/>
      <c r="G146" s="17" t="str">
        <f>Table1[[#This Row],[DESCRIPCION_POSICION]]</f>
        <v>Recorredor Especializado</v>
      </c>
      <c r="H146" s="22" t="s">
        <v>471</v>
      </c>
      <c r="I146" s="17" t="s">
        <v>40</v>
      </c>
      <c r="J146" s="17" t="s">
        <v>68</v>
      </c>
      <c r="K146" s="17" t="s">
        <v>84</v>
      </c>
      <c r="L146" s="36" t="s">
        <v>449</v>
      </c>
      <c r="M146" s="103"/>
      <c r="N146" s="37" t="s">
        <v>472</v>
      </c>
      <c r="O146" s="36" t="str">
        <f>VLOOKUP(L146,CECOs!A:B,2,0)</f>
        <v>Oper campo SALA</v>
      </c>
      <c r="P146" s="17" t="str">
        <f>VLOOKUP(B:B,CECOs!G:I,3,FALSE)</f>
        <v>OperadordeCampo</v>
      </c>
      <c r="Q146" s="17" t="str">
        <f>IF(_xlfn.XLOOKUP(L146,CECOs!A:A,CECOs!C:C,"")="",K146,_xlfn.XLOOKUP(L146,CECOs!A:A,CECOs!C:C,""))</f>
        <v>BECHARA, LUCAS ANTONIO</v>
      </c>
      <c r="R146" s="17" t="s">
        <v>38</v>
      </c>
      <c r="S146" s="17" t="s">
        <v>45</v>
      </c>
      <c r="T146" s="17" t="s">
        <v>61</v>
      </c>
      <c r="U146" s="17" t="s">
        <v>217</v>
      </c>
      <c r="V146" s="17" t="s">
        <v>95</v>
      </c>
      <c r="W146" s="17"/>
      <c r="X146" s="17"/>
      <c r="Y146" s="17"/>
      <c r="Z146" s="17"/>
      <c r="AA146" s="17"/>
      <c r="AB146" s="17" t="s">
        <v>49</v>
      </c>
      <c r="AC146" s="17"/>
      <c r="AD146" s="17" t="s">
        <v>50</v>
      </c>
      <c r="AE146" s="17"/>
      <c r="AF146" s="17"/>
      <c r="AG146" s="17"/>
      <c r="AH146" s="17"/>
      <c r="AI146" s="17"/>
      <c r="AJ146" s="17"/>
      <c r="AK146" s="29"/>
    </row>
    <row r="147" spans="1:37" ht="9.9499999999999993">
      <c r="A147" s="29">
        <v>46266</v>
      </c>
      <c r="B147" s="22">
        <v>3392908</v>
      </c>
      <c r="C147" s="17" t="s">
        <v>213</v>
      </c>
      <c r="D147" s="17" t="s">
        <v>38</v>
      </c>
      <c r="E147" s="17" t="s">
        <v>38</v>
      </c>
      <c r="F147" s="17"/>
      <c r="G147" s="17" t="str">
        <f>Table1[[#This Row],[DESCRIPCION_POSICION]]</f>
        <v>Recorredor Especializado</v>
      </c>
      <c r="H147" s="17" t="s">
        <v>473</v>
      </c>
      <c r="I147" s="17" t="s">
        <v>40</v>
      </c>
      <c r="J147" s="17" t="s">
        <v>68</v>
      </c>
      <c r="K147" s="17" t="s">
        <v>84</v>
      </c>
      <c r="L147" s="36" t="s">
        <v>449</v>
      </c>
      <c r="M147" s="103"/>
      <c r="N147" s="38" t="s">
        <v>474</v>
      </c>
      <c r="O147" s="36" t="str">
        <f>VLOOKUP(L147,CECOs!A:B,2,0)</f>
        <v>Oper campo SALA</v>
      </c>
      <c r="P147" s="17" t="str">
        <f>VLOOKUP(B:B,CECOs!G:I,3,FALSE)</f>
        <v>OperadordeCampo</v>
      </c>
      <c r="Q147" s="17" t="str">
        <f>IF(_xlfn.XLOOKUP(L147,CECOs!A:A,CECOs!C:C,"")="",K147,_xlfn.XLOOKUP(L147,CECOs!A:A,CECOs!C:C,""))</f>
        <v>BECHARA, LUCAS ANTONIO</v>
      </c>
      <c r="R147" s="17" t="s">
        <v>38</v>
      </c>
      <c r="S147" s="17" t="s">
        <v>45</v>
      </c>
      <c r="T147" s="17" t="s">
        <v>61</v>
      </c>
      <c r="U147" s="17" t="s">
        <v>217</v>
      </c>
      <c r="V147" s="17" t="s">
        <v>95</v>
      </c>
      <c r="W147" s="17"/>
      <c r="X147" s="17"/>
      <c r="Y147" s="17"/>
      <c r="Z147" s="17"/>
      <c r="AA147" s="17"/>
      <c r="AB147" s="17" t="s">
        <v>49</v>
      </c>
      <c r="AC147" s="17"/>
      <c r="AD147" s="17" t="s">
        <v>50</v>
      </c>
      <c r="AE147" s="17"/>
      <c r="AF147" s="17"/>
      <c r="AG147" s="17"/>
      <c r="AH147" s="17"/>
      <c r="AI147" s="17"/>
      <c r="AJ147" s="17"/>
      <c r="AK147" s="29"/>
    </row>
    <row r="148" spans="1:37">
      <c r="A148" s="29">
        <v>46266</v>
      </c>
      <c r="B148" s="22">
        <v>3392909</v>
      </c>
      <c r="C148" s="17" t="s">
        <v>213</v>
      </c>
      <c r="D148" s="17" t="s">
        <v>38</v>
      </c>
      <c r="E148" s="17" t="s">
        <v>38</v>
      </c>
      <c r="F148" s="17"/>
      <c r="G148" s="17" t="str">
        <f>Table1[[#This Row],[DESCRIPCION_POSICION]]</f>
        <v>Recorredor Especializado</v>
      </c>
      <c r="H148" s="22" t="s">
        <v>475</v>
      </c>
      <c r="I148" s="17" t="s">
        <v>40</v>
      </c>
      <c r="J148" s="17" t="s">
        <v>68</v>
      </c>
      <c r="K148" s="17" t="s">
        <v>84</v>
      </c>
      <c r="L148" s="36" t="s">
        <v>476</v>
      </c>
      <c r="M148" s="103"/>
      <c r="N148" s="37" t="s">
        <v>477</v>
      </c>
      <c r="O148" s="36" t="e">
        <f>VLOOKUP(#REF!,CECOs!A:B,2,0)</f>
        <v>#REF!</v>
      </c>
      <c r="P148" s="17" t="str">
        <f>VLOOKUP(B:B,CECOs!G:I,3,FALSE)</f>
        <v>OperadordeCampo</v>
      </c>
      <c r="Q148" s="17" t="e">
        <f>IF(_xlfn.XLOOKUP(#REF!,CECOs!A:A,CECOs!C:C,"")="",K148,_xlfn.XLOOKUP(#REF!,CECOs!A:A,CECOs!C:C,""))</f>
        <v>#REF!</v>
      </c>
      <c r="R148" s="17" t="s">
        <v>38</v>
      </c>
      <c r="S148" s="17" t="s">
        <v>45</v>
      </c>
      <c r="T148" s="17" t="s">
        <v>61</v>
      </c>
      <c r="U148" s="17" t="s">
        <v>217</v>
      </c>
      <c r="V148" s="17" t="s">
        <v>95</v>
      </c>
      <c r="W148" s="17"/>
      <c r="X148" s="17"/>
      <c r="Y148" s="17"/>
      <c r="Z148" s="17"/>
      <c r="AA148" s="17"/>
      <c r="AB148" s="17" t="s">
        <v>49</v>
      </c>
      <c r="AC148" s="17"/>
      <c r="AD148" s="17" t="s">
        <v>50</v>
      </c>
      <c r="AE148" s="17"/>
      <c r="AF148" s="17"/>
      <c r="AG148" s="17"/>
      <c r="AH148" s="17"/>
      <c r="AI148" s="17"/>
      <c r="AJ148" s="17"/>
      <c r="AK148" s="29"/>
    </row>
    <row r="149" spans="1:37" ht="9.9499999999999993">
      <c r="A149" s="29">
        <v>46266</v>
      </c>
      <c r="B149" s="22">
        <v>3392910</v>
      </c>
      <c r="C149" s="17" t="s">
        <v>213</v>
      </c>
      <c r="D149" s="17" t="s">
        <v>38</v>
      </c>
      <c r="E149" s="17" t="s">
        <v>38</v>
      </c>
      <c r="F149" s="17"/>
      <c r="G149" s="17" t="str">
        <f>Table1[[#This Row],[DESCRIPCION_POSICION]]</f>
        <v>Recorredor Especializado</v>
      </c>
      <c r="H149" s="17" t="s">
        <v>478</v>
      </c>
      <c r="I149" s="17" t="s">
        <v>40</v>
      </c>
      <c r="J149" s="17" t="s">
        <v>68</v>
      </c>
      <c r="K149" s="17" t="s">
        <v>84</v>
      </c>
      <c r="L149" s="36" t="s">
        <v>449</v>
      </c>
      <c r="M149" s="103"/>
      <c r="N149" s="38" t="s">
        <v>479</v>
      </c>
      <c r="O149" s="36" t="str">
        <f>VLOOKUP(L149,CECOs!A:B,2,0)</f>
        <v>Oper campo SALA</v>
      </c>
      <c r="P149" s="17" t="str">
        <f>VLOOKUP(B:B,CECOs!G:I,3,FALSE)</f>
        <v>OperadordeCampo</v>
      </c>
      <c r="Q149" s="17" t="str">
        <f>IF(_xlfn.XLOOKUP(L149,CECOs!A:A,CECOs!C:C,"")="",K149,_xlfn.XLOOKUP(L149,CECOs!A:A,CECOs!C:C,""))</f>
        <v>BECHARA, LUCAS ANTONIO</v>
      </c>
      <c r="R149" s="17" t="s">
        <v>38</v>
      </c>
      <c r="S149" s="17" t="s">
        <v>45</v>
      </c>
      <c r="T149" s="17" t="s">
        <v>61</v>
      </c>
      <c r="U149" s="17" t="s">
        <v>217</v>
      </c>
      <c r="V149" s="17" t="s">
        <v>95</v>
      </c>
      <c r="W149" s="17"/>
      <c r="X149" s="17"/>
      <c r="Y149" s="17"/>
      <c r="Z149" s="17"/>
      <c r="AA149" s="17"/>
      <c r="AB149" s="17" t="s">
        <v>49</v>
      </c>
      <c r="AC149" s="17"/>
      <c r="AD149" s="17" t="s">
        <v>50</v>
      </c>
      <c r="AE149" s="17"/>
      <c r="AF149" s="17"/>
      <c r="AG149" s="17"/>
      <c r="AH149" s="17"/>
      <c r="AI149" s="17"/>
      <c r="AJ149" s="17"/>
      <c r="AK149" s="29"/>
    </row>
    <row r="150" spans="1:37" ht="9.9499999999999993">
      <c r="A150" s="29">
        <v>46266</v>
      </c>
      <c r="B150" s="22">
        <v>3392911</v>
      </c>
      <c r="C150" s="17" t="s">
        <v>480</v>
      </c>
      <c r="D150" s="17" t="s">
        <v>38</v>
      </c>
      <c r="E150" s="17" t="s">
        <v>38</v>
      </c>
      <c r="F150" s="17"/>
      <c r="G150" s="17" t="str">
        <f>Table1[[#This Row],[DESCRIPCION_POSICION]]</f>
        <v>Medio Oficial Recorredor</v>
      </c>
      <c r="H150" s="22" t="s">
        <v>481</v>
      </c>
      <c r="I150" s="17" t="s">
        <v>40</v>
      </c>
      <c r="J150" s="17" t="s">
        <v>68</v>
      </c>
      <c r="K150" s="17" t="s">
        <v>84</v>
      </c>
      <c r="L150" s="36" t="s">
        <v>449</v>
      </c>
      <c r="M150" s="103"/>
      <c r="N150" s="37" t="s">
        <v>482</v>
      </c>
      <c r="O150" s="36" t="str">
        <f>VLOOKUP(L150,CECOs!A:B,2,0)</f>
        <v>Oper campo SALA</v>
      </c>
      <c r="P150" s="17" t="str">
        <f>VLOOKUP(B:B,CECOs!G:I,3,FALSE)</f>
        <v>OperadordeCampo</v>
      </c>
      <c r="Q150" s="17" t="str">
        <f>IF(_xlfn.XLOOKUP(L150,CECOs!A:A,CECOs!C:C,"")="",K150,_xlfn.XLOOKUP(L150,CECOs!A:A,CECOs!C:C,""))</f>
        <v>BECHARA, LUCAS ANTONIO</v>
      </c>
      <c r="R150" s="17" t="s">
        <v>38</v>
      </c>
      <c r="S150" s="17" t="s">
        <v>45</v>
      </c>
      <c r="T150" s="17" t="s">
        <v>61</v>
      </c>
      <c r="U150" s="17" t="s">
        <v>217</v>
      </c>
      <c r="V150" s="17" t="s">
        <v>95</v>
      </c>
      <c r="W150" s="17"/>
      <c r="X150" s="17"/>
      <c r="Y150" s="17"/>
      <c r="Z150" s="17"/>
      <c r="AA150" s="17"/>
      <c r="AB150" s="17" t="s">
        <v>49</v>
      </c>
      <c r="AC150" s="17"/>
      <c r="AD150" s="17" t="s">
        <v>50</v>
      </c>
      <c r="AE150" s="17"/>
      <c r="AF150" s="17"/>
      <c r="AG150" s="17"/>
      <c r="AH150" s="17"/>
      <c r="AI150" s="17"/>
      <c r="AJ150" s="17"/>
      <c r="AK150" s="29"/>
    </row>
    <row r="151" spans="1:37" ht="9.9499999999999993">
      <c r="A151" s="29">
        <v>46266</v>
      </c>
      <c r="B151" s="22">
        <v>3392912</v>
      </c>
      <c r="C151" s="17" t="s">
        <v>213</v>
      </c>
      <c r="D151" s="17" t="s">
        <v>38</v>
      </c>
      <c r="E151" s="17" t="s">
        <v>38</v>
      </c>
      <c r="F151" s="17"/>
      <c r="G151" s="17" t="str">
        <f>Table1[[#This Row],[DESCRIPCION_POSICION]]</f>
        <v>Recorredor Especializado</v>
      </c>
      <c r="H151" s="17" t="s">
        <v>483</v>
      </c>
      <c r="I151" s="17" t="s">
        <v>40</v>
      </c>
      <c r="J151" s="17" t="s">
        <v>68</v>
      </c>
      <c r="K151" s="17" t="s">
        <v>84</v>
      </c>
      <c r="L151" s="36" t="s">
        <v>449</v>
      </c>
      <c r="M151" s="103"/>
      <c r="N151" s="38" t="s">
        <v>484</v>
      </c>
      <c r="O151" s="36" t="str">
        <f>VLOOKUP(L151,CECOs!A:B,2,0)</f>
        <v>Oper campo SALA</v>
      </c>
      <c r="P151" s="17" t="str">
        <f>VLOOKUP(B:B,CECOs!G:I,3,FALSE)</f>
        <v>OperadordeCampo</v>
      </c>
      <c r="Q151" s="17" t="str">
        <f>IF(_xlfn.XLOOKUP(L151,CECOs!A:A,CECOs!C:C,"")="",K151,_xlfn.XLOOKUP(L151,CECOs!A:A,CECOs!C:C,""))</f>
        <v>BECHARA, LUCAS ANTONIO</v>
      </c>
      <c r="R151" s="17" t="s">
        <v>38</v>
      </c>
      <c r="S151" s="17" t="s">
        <v>45</v>
      </c>
      <c r="T151" s="17" t="s">
        <v>61</v>
      </c>
      <c r="U151" s="17" t="s">
        <v>217</v>
      </c>
      <c r="V151" s="17" t="s">
        <v>95</v>
      </c>
      <c r="W151" s="17"/>
      <c r="X151" s="17"/>
      <c r="Y151" s="17"/>
      <c r="Z151" s="17"/>
      <c r="AA151" s="17"/>
      <c r="AB151" s="17" t="s">
        <v>49</v>
      </c>
      <c r="AC151" s="17"/>
      <c r="AD151" s="17" t="s">
        <v>50</v>
      </c>
      <c r="AE151" s="17"/>
      <c r="AF151" s="17"/>
      <c r="AG151" s="17"/>
      <c r="AH151" s="17"/>
      <c r="AI151" s="17"/>
      <c r="AJ151" s="17"/>
      <c r="AK151" s="29"/>
    </row>
    <row r="152" spans="1:37" ht="9.9499999999999993">
      <c r="A152" s="29">
        <v>46266</v>
      </c>
      <c r="B152" s="22">
        <v>3392913</v>
      </c>
      <c r="C152" s="17" t="s">
        <v>388</v>
      </c>
      <c r="D152" s="17" t="s">
        <v>38</v>
      </c>
      <c r="E152" s="17" t="s">
        <v>38</v>
      </c>
      <c r="F152" s="17"/>
      <c r="G152" s="17" t="str">
        <f>Table1[[#This Row],[DESCRIPCION_POSICION]]</f>
        <v>Recorredor Semi Jr.</v>
      </c>
      <c r="H152" s="22" t="s">
        <v>485</v>
      </c>
      <c r="I152" s="17" t="s">
        <v>40</v>
      </c>
      <c r="J152" s="17" t="s">
        <v>68</v>
      </c>
      <c r="K152" s="17" t="s">
        <v>84</v>
      </c>
      <c r="L152" s="36" t="s">
        <v>449</v>
      </c>
      <c r="M152" s="103"/>
      <c r="N152" s="37" t="s">
        <v>486</v>
      </c>
      <c r="O152" s="36" t="str">
        <f>VLOOKUP(L152,CECOs!A:B,2,0)</f>
        <v>Oper campo SALA</v>
      </c>
      <c r="P152" s="17" t="str">
        <f>VLOOKUP(B:B,CECOs!G:I,3,FALSE)</f>
        <v>OperadordeCampo</v>
      </c>
      <c r="Q152" s="17" t="str">
        <f>IF(_xlfn.XLOOKUP(L152,CECOs!A:A,CECOs!C:C,"")="",K152,_xlfn.XLOOKUP(L152,CECOs!A:A,CECOs!C:C,""))</f>
        <v>BECHARA, LUCAS ANTONIO</v>
      </c>
      <c r="R152" s="17" t="s">
        <v>38</v>
      </c>
      <c r="S152" s="17" t="s">
        <v>45</v>
      </c>
      <c r="T152" s="17" t="s">
        <v>61</v>
      </c>
      <c r="U152" s="17" t="s">
        <v>217</v>
      </c>
      <c r="V152" s="17" t="s">
        <v>95</v>
      </c>
      <c r="W152" s="17"/>
      <c r="X152" s="17"/>
      <c r="Y152" s="17"/>
      <c r="Z152" s="17"/>
      <c r="AA152" s="17"/>
      <c r="AB152" s="17" t="s">
        <v>49</v>
      </c>
      <c r="AC152" s="17"/>
      <c r="AD152" s="17" t="s">
        <v>50</v>
      </c>
      <c r="AE152" s="17"/>
      <c r="AF152" s="17"/>
      <c r="AG152" s="17"/>
      <c r="AH152" s="17"/>
      <c r="AI152" s="17"/>
      <c r="AJ152" s="17"/>
      <c r="AK152" s="29"/>
    </row>
    <row r="153" spans="1:37" ht="9.9499999999999993">
      <c r="A153" s="29">
        <v>46266</v>
      </c>
      <c r="B153" s="22">
        <v>3392914</v>
      </c>
      <c r="C153" s="17" t="s">
        <v>388</v>
      </c>
      <c r="D153" s="17" t="s">
        <v>38</v>
      </c>
      <c r="E153" s="17" t="s">
        <v>38</v>
      </c>
      <c r="F153" s="17"/>
      <c r="G153" s="17" t="str">
        <f>Table1[[#This Row],[DESCRIPCION_POSICION]]</f>
        <v>Recorredor Semi Jr.</v>
      </c>
      <c r="H153" s="50" t="s">
        <v>487</v>
      </c>
      <c r="I153" s="17" t="s">
        <v>40</v>
      </c>
      <c r="J153" s="17" t="s">
        <v>68</v>
      </c>
      <c r="K153" s="17" t="s">
        <v>84</v>
      </c>
      <c r="L153" s="36" t="s">
        <v>449</v>
      </c>
      <c r="M153" s="103"/>
      <c r="N153" s="43" t="s">
        <v>488</v>
      </c>
      <c r="O153" s="36" t="str">
        <f>VLOOKUP(L153,CECOs!A:B,2,0)</f>
        <v>Oper campo SALA</v>
      </c>
      <c r="P153" s="17" t="str">
        <f>VLOOKUP(B:B,CECOs!G:I,3,FALSE)</f>
        <v>OperadordeCampo</v>
      </c>
      <c r="Q153" s="17" t="str">
        <f>IF(_xlfn.XLOOKUP(L153,CECOs!A:A,CECOs!C:C,"")="",K153,_xlfn.XLOOKUP(L153,CECOs!A:A,CECOs!C:C,""))</f>
        <v>BECHARA, LUCAS ANTONIO</v>
      </c>
      <c r="R153" s="17" t="s">
        <v>38</v>
      </c>
      <c r="S153" s="17" t="s">
        <v>45</v>
      </c>
      <c r="T153" s="17" t="s">
        <v>61</v>
      </c>
      <c r="U153" s="17" t="s">
        <v>217</v>
      </c>
      <c r="V153" s="17" t="s">
        <v>95</v>
      </c>
      <c r="W153" s="17"/>
      <c r="X153" s="17"/>
      <c r="Y153" s="17"/>
      <c r="Z153" s="17"/>
      <c r="AA153" s="17"/>
      <c r="AB153" s="17" t="s">
        <v>49</v>
      </c>
      <c r="AC153" s="17"/>
      <c r="AD153" s="17" t="s">
        <v>50</v>
      </c>
      <c r="AE153" s="17"/>
      <c r="AF153" s="17"/>
      <c r="AG153" s="17"/>
      <c r="AH153" s="17"/>
      <c r="AI153" s="17"/>
      <c r="AJ153" s="17"/>
      <c r="AK153" s="29"/>
    </row>
    <row r="154" spans="1:37" ht="9.9499999999999993">
      <c r="A154" s="29">
        <v>46266</v>
      </c>
      <c r="B154" s="22">
        <v>3392915</v>
      </c>
      <c r="C154" s="17" t="s">
        <v>410</v>
      </c>
      <c r="D154" s="17" t="s">
        <v>38</v>
      </c>
      <c r="E154" s="17" t="s">
        <v>38</v>
      </c>
      <c r="F154" s="17"/>
      <c r="G154" s="17" t="str">
        <f>Table1[[#This Row],[DESCRIPCION_POSICION]]</f>
        <v>Oficial de Oficios</v>
      </c>
      <c r="H154" s="17" t="s">
        <v>489</v>
      </c>
      <c r="I154" s="17" t="s">
        <v>40</v>
      </c>
      <c r="J154" s="17" t="s">
        <v>68</v>
      </c>
      <c r="K154" s="17" t="s">
        <v>84</v>
      </c>
      <c r="L154" s="36" t="s">
        <v>490</v>
      </c>
      <c r="M154" s="103"/>
      <c r="N154" s="38" t="s">
        <v>491</v>
      </c>
      <c r="O154" s="36" t="str">
        <f>VLOOKUP(L154,CECOs!A:B,2,0)</f>
        <v>Mtto Instrumentos SALA</v>
      </c>
      <c r="P154" s="17" t="str">
        <f>VLOOKUP(B:B,CECOs!G:I,3,FALSE)</f>
        <v>InstrumentistaConvencional</v>
      </c>
      <c r="Q154" s="17" t="str">
        <f>IF(_xlfn.XLOOKUP(L154,CECOs!A:A,CECOs!C:C,"")="",K154,_xlfn.XLOOKUP(L154,CECOs!A:A,CECOs!C:C,""))</f>
        <v>BECHARA, LUCAS ANTONIO</v>
      </c>
      <c r="R154" s="17" t="s">
        <v>38</v>
      </c>
      <c r="S154" s="17" t="s">
        <v>45</v>
      </c>
      <c r="T154" s="17" t="s">
        <v>57</v>
      </c>
      <c r="U154" s="17" t="s">
        <v>94</v>
      </c>
      <c r="V154" s="17" t="s">
        <v>95</v>
      </c>
      <c r="W154" s="17"/>
      <c r="X154" s="17"/>
      <c r="Y154" s="17"/>
      <c r="Z154" s="17"/>
      <c r="AA154" s="17"/>
      <c r="AB154" s="17" t="s">
        <v>49</v>
      </c>
      <c r="AC154" s="17"/>
      <c r="AD154" s="17" t="s">
        <v>50</v>
      </c>
      <c r="AE154" s="17"/>
      <c r="AF154" s="17"/>
      <c r="AG154" s="17"/>
      <c r="AH154" s="17"/>
      <c r="AI154" s="17"/>
      <c r="AJ154" s="17"/>
      <c r="AK154" s="29"/>
    </row>
    <row r="155" spans="1:37" ht="9.9499999999999993">
      <c r="A155" s="29">
        <v>46266</v>
      </c>
      <c r="B155" s="22">
        <v>3392916</v>
      </c>
      <c r="C155" s="17" t="s">
        <v>402</v>
      </c>
      <c r="D155" s="17" t="s">
        <v>38</v>
      </c>
      <c r="E155" s="17" t="s">
        <v>38</v>
      </c>
      <c r="F155" s="17"/>
      <c r="G155" s="17" t="str">
        <f>Table1[[#This Row],[DESCRIPCION_POSICION]]</f>
        <v>Operador Principal de Cuadrilla</v>
      </c>
      <c r="H155" s="17" t="s">
        <v>492</v>
      </c>
      <c r="I155" s="17" t="s">
        <v>40</v>
      </c>
      <c r="J155" s="17" t="s">
        <v>68</v>
      </c>
      <c r="K155" s="17" t="s">
        <v>84</v>
      </c>
      <c r="L155" s="36" t="s">
        <v>490</v>
      </c>
      <c r="M155" s="103"/>
      <c r="N155" s="38" t="s">
        <v>493</v>
      </c>
      <c r="O155" s="36" t="str">
        <f>VLOOKUP(L155,CECOs!A:B,2,0)</f>
        <v>Mtto Instrumentos SALA</v>
      </c>
      <c r="P155" s="17" t="str">
        <f>VLOOKUP(B:B,CECOs!G:I,3,FALSE)</f>
        <v>InstrumentistaConvencional</v>
      </c>
      <c r="Q155" s="17" t="str">
        <f>IF(_xlfn.XLOOKUP(L155,CECOs!A:A,CECOs!C:C,"")="",K155,_xlfn.XLOOKUP(L155,CECOs!A:A,CECOs!C:C,""))</f>
        <v>BECHARA, LUCAS ANTONIO</v>
      </c>
      <c r="R155" s="17" t="s">
        <v>38</v>
      </c>
      <c r="S155" s="17" t="s">
        <v>45</v>
      </c>
      <c r="T155" s="17" t="s">
        <v>57</v>
      </c>
      <c r="U155" s="17" t="s">
        <v>94</v>
      </c>
      <c r="V155" s="17" t="s">
        <v>95</v>
      </c>
      <c r="W155" s="17"/>
      <c r="X155" s="17"/>
      <c r="Y155" s="17"/>
      <c r="Z155" s="17"/>
      <c r="AA155" s="17"/>
      <c r="AB155" s="17" t="s">
        <v>49</v>
      </c>
      <c r="AC155" s="17"/>
      <c r="AD155" s="17" t="s">
        <v>50</v>
      </c>
      <c r="AE155" s="17"/>
      <c r="AF155" s="17"/>
      <c r="AG155" s="17"/>
      <c r="AH155" s="17"/>
      <c r="AI155" s="17"/>
      <c r="AJ155" s="17"/>
      <c r="AK155" s="29"/>
    </row>
    <row r="156" spans="1:37" ht="9.9499999999999993">
      <c r="A156" s="29">
        <v>46266</v>
      </c>
      <c r="B156" s="22">
        <v>3392917</v>
      </c>
      <c r="C156" s="17" t="s">
        <v>402</v>
      </c>
      <c r="D156" s="17" t="s">
        <v>38</v>
      </c>
      <c r="E156" s="17" t="s">
        <v>38</v>
      </c>
      <c r="F156" s="17"/>
      <c r="G156" s="17" t="str">
        <f>Table1[[#This Row],[DESCRIPCION_POSICION]]</f>
        <v>Operador Principal de Cuadrilla</v>
      </c>
      <c r="H156" s="17" t="s">
        <v>494</v>
      </c>
      <c r="I156" s="17" t="s">
        <v>40</v>
      </c>
      <c r="J156" s="17" t="s">
        <v>68</v>
      </c>
      <c r="K156" s="17" t="s">
        <v>84</v>
      </c>
      <c r="L156" s="36" t="s">
        <v>495</v>
      </c>
      <c r="M156" s="103"/>
      <c r="N156" s="38" t="s">
        <v>496</v>
      </c>
      <c r="O156" s="36" t="str">
        <f>VLOOKUP(L156,CECOs!A:B,2,0)</f>
        <v>Mtto Eléctrico SALA</v>
      </c>
      <c r="P156" s="17" t="str">
        <f>VLOOKUP(B:B,CECOs!G:I,3,FALSE)</f>
        <v>EléctricoConvencional</v>
      </c>
      <c r="Q156" s="17" t="str">
        <f>IF(_xlfn.XLOOKUP(L156,CECOs!A:A,CECOs!C:C,"")="",K156,_xlfn.XLOOKUP(L156,CECOs!A:A,CECOs!C:C,""))</f>
        <v>BECHARA, LUCAS ANTONIO</v>
      </c>
      <c r="R156" s="17" t="s">
        <v>38</v>
      </c>
      <c r="S156" s="17" t="s">
        <v>45</v>
      </c>
      <c r="T156" s="17" t="s">
        <v>57</v>
      </c>
      <c r="U156" s="17" t="s">
        <v>94</v>
      </c>
      <c r="V156" s="17" t="s">
        <v>95</v>
      </c>
      <c r="W156" s="17"/>
      <c r="X156" s="17"/>
      <c r="Y156" s="17"/>
      <c r="Z156" s="17"/>
      <c r="AA156" s="17"/>
      <c r="AB156" s="17" t="s">
        <v>49</v>
      </c>
      <c r="AC156" s="17"/>
      <c r="AD156" s="17" t="s">
        <v>50</v>
      </c>
      <c r="AE156" s="17"/>
      <c r="AF156" s="17"/>
      <c r="AG156" s="17"/>
      <c r="AH156" s="17"/>
      <c r="AI156" s="17"/>
      <c r="AJ156" s="17"/>
      <c r="AK156" s="29"/>
    </row>
    <row r="157" spans="1:37" ht="9.9499999999999993">
      <c r="A157" s="29">
        <v>46266</v>
      </c>
      <c r="B157" s="22">
        <v>3392918</v>
      </c>
      <c r="C157" s="17" t="s">
        <v>402</v>
      </c>
      <c r="D157" s="17" t="s">
        <v>38</v>
      </c>
      <c r="E157" s="17" t="s">
        <v>38</v>
      </c>
      <c r="F157" s="17"/>
      <c r="G157" s="17" t="str">
        <f>Table1[[#This Row],[DESCRIPCION_POSICION]]</f>
        <v>Operador Principal de Cuadrilla</v>
      </c>
      <c r="H157" s="17" t="s">
        <v>497</v>
      </c>
      <c r="I157" s="17" t="s">
        <v>40</v>
      </c>
      <c r="J157" s="17" t="s">
        <v>68</v>
      </c>
      <c r="K157" s="17" t="s">
        <v>84</v>
      </c>
      <c r="L157" s="36" t="s">
        <v>495</v>
      </c>
      <c r="M157" s="103"/>
      <c r="N157" s="38" t="s">
        <v>498</v>
      </c>
      <c r="O157" s="36" t="str">
        <f>VLOOKUP(L157,CECOs!A:B,2,0)</f>
        <v>Mtto Eléctrico SALA</v>
      </c>
      <c r="P157" s="17" t="str">
        <f>VLOOKUP(B:B,CECOs!G:I,3,FALSE)</f>
        <v>EléctricoConvencional</v>
      </c>
      <c r="Q157" s="17" t="str">
        <f>IF(_xlfn.XLOOKUP(L157,CECOs!A:A,CECOs!C:C,"")="",K157,_xlfn.XLOOKUP(L157,CECOs!A:A,CECOs!C:C,""))</f>
        <v>BECHARA, LUCAS ANTONIO</v>
      </c>
      <c r="R157" s="17" t="s">
        <v>38</v>
      </c>
      <c r="S157" s="17" t="s">
        <v>45</v>
      </c>
      <c r="T157" s="17" t="s">
        <v>57</v>
      </c>
      <c r="U157" s="17" t="s">
        <v>94</v>
      </c>
      <c r="V157" s="17" t="s">
        <v>95</v>
      </c>
      <c r="W157" s="17"/>
      <c r="X157" s="17"/>
      <c r="Y157" s="17"/>
      <c r="Z157" s="17"/>
      <c r="AA157" s="17"/>
      <c r="AB157" s="17" t="s">
        <v>49</v>
      </c>
      <c r="AC157" s="17"/>
      <c r="AD157" s="17" t="s">
        <v>50</v>
      </c>
      <c r="AE157" s="17"/>
      <c r="AF157" s="17"/>
      <c r="AG157" s="17"/>
      <c r="AH157" s="17"/>
      <c r="AI157" s="17"/>
      <c r="AJ157" s="17"/>
      <c r="AK157" s="29"/>
    </row>
    <row r="158" spans="1:37" ht="9.9499999999999993">
      <c r="A158" s="29">
        <v>46266</v>
      </c>
      <c r="B158" s="22">
        <v>3392919</v>
      </c>
      <c r="C158" s="17" t="s">
        <v>402</v>
      </c>
      <c r="D158" s="17" t="s">
        <v>38</v>
      </c>
      <c r="E158" s="17" t="s">
        <v>38</v>
      </c>
      <c r="F158" s="17"/>
      <c r="G158" s="17" t="str">
        <f>Table1[[#This Row],[DESCRIPCION_POSICION]]</f>
        <v>Operador Principal de Cuadrilla</v>
      </c>
      <c r="H158" s="17" t="s">
        <v>499</v>
      </c>
      <c r="I158" s="17" t="s">
        <v>40</v>
      </c>
      <c r="J158" s="17" t="s">
        <v>68</v>
      </c>
      <c r="K158" s="17" t="s">
        <v>84</v>
      </c>
      <c r="L158" s="36" t="s">
        <v>500</v>
      </c>
      <c r="M158" s="103"/>
      <c r="N158" s="38" t="s">
        <v>501</v>
      </c>
      <c r="O158" s="36" t="str">
        <f>VLOOKUP(L158,CECOs!A:B,2,0)</f>
        <v>Mtto Mecánico SALA</v>
      </c>
      <c r="P158" s="17" t="str">
        <f>VLOOKUP(B:B,CECOs!G:I,3,FALSE)</f>
        <v>MecánicosASAL</v>
      </c>
      <c r="Q158" s="17" t="str">
        <f>IF(_xlfn.XLOOKUP(L158,CECOs!A:A,CECOs!C:C,"")="",K158,_xlfn.XLOOKUP(L158,CECOs!A:A,CECOs!C:C,""))</f>
        <v>BECHARA, LUCAS ANTONIO</v>
      </c>
      <c r="R158" s="17" t="s">
        <v>38</v>
      </c>
      <c r="S158" s="17" t="s">
        <v>45</v>
      </c>
      <c r="T158" s="17" t="s">
        <v>57</v>
      </c>
      <c r="U158" s="17" t="s">
        <v>94</v>
      </c>
      <c r="V158" s="17" t="s">
        <v>95</v>
      </c>
      <c r="W158" s="17"/>
      <c r="X158" s="17"/>
      <c r="Y158" s="17"/>
      <c r="Z158" s="17"/>
      <c r="AA158" s="17"/>
      <c r="AB158" s="17" t="s">
        <v>49</v>
      </c>
      <c r="AC158" s="17"/>
      <c r="AD158" s="17" t="s">
        <v>50</v>
      </c>
      <c r="AE158" s="17"/>
      <c r="AF158" s="17"/>
      <c r="AG158" s="17"/>
      <c r="AH158" s="17"/>
      <c r="AI158" s="17"/>
      <c r="AJ158" s="17"/>
      <c r="AK158" s="29"/>
    </row>
    <row r="159" spans="1:37" ht="9.9499999999999993">
      <c r="A159" s="29">
        <v>46266</v>
      </c>
      <c r="B159" s="22">
        <v>3392920</v>
      </c>
      <c r="C159" s="17" t="s">
        <v>402</v>
      </c>
      <c r="D159" s="17" t="s">
        <v>38</v>
      </c>
      <c r="E159" s="17" t="s">
        <v>38</v>
      </c>
      <c r="F159" s="17"/>
      <c r="G159" s="17" t="str">
        <f>Table1[[#This Row],[DESCRIPCION_POSICION]]</f>
        <v>Operador Principal de Cuadrilla</v>
      </c>
      <c r="H159" s="17" t="s">
        <v>502</v>
      </c>
      <c r="I159" s="17" t="s">
        <v>40</v>
      </c>
      <c r="J159" s="17" t="s">
        <v>68</v>
      </c>
      <c r="K159" s="17" t="s">
        <v>84</v>
      </c>
      <c r="L159" s="36" t="s">
        <v>500</v>
      </c>
      <c r="M159" s="103"/>
      <c r="N159" s="38" t="s">
        <v>503</v>
      </c>
      <c r="O159" s="36" t="str">
        <f>VLOOKUP(L159,CECOs!A:B,2,0)</f>
        <v>Mtto Mecánico SALA</v>
      </c>
      <c r="P159" s="17" t="str">
        <f>VLOOKUP(B:B,CECOs!G:I,3,FALSE)</f>
        <v>MecánicosASAL</v>
      </c>
      <c r="Q159" s="17" t="str">
        <f>IF(_xlfn.XLOOKUP(L159,CECOs!A:A,CECOs!C:C,"")="",K159,_xlfn.XLOOKUP(L159,CECOs!A:A,CECOs!C:C,""))</f>
        <v>BECHARA, LUCAS ANTONIO</v>
      </c>
      <c r="R159" s="17" t="s">
        <v>38</v>
      </c>
      <c r="S159" s="17" t="s">
        <v>45</v>
      </c>
      <c r="T159" s="17" t="s">
        <v>57</v>
      </c>
      <c r="U159" s="17" t="s">
        <v>94</v>
      </c>
      <c r="V159" s="17" t="s">
        <v>95</v>
      </c>
      <c r="W159" s="17"/>
      <c r="X159" s="17"/>
      <c r="Y159" s="17"/>
      <c r="Z159" s="17"/>
      <c r="AA159" s="17"/>
      <c r="AB159" s="17" t="s">
        <v>49</v>
      </c>
      <c r="AC159" s="17"/>
      <c r="AD159" s="17" t="s">
        <v>50</v>
      </c>
      <c r="AE159" s="17"/>
      <c r="AF159" s="17"/>
      <c r="AG159" s="17"/>
      <c r="AH159" s="17"/>
      <c r="AI159" s="17"/>
      <c r="AJ159" s="17"/>
      <c r="AK159" s="29"/>
    </row>
    <row r="160" spans="1:37" ht="9.9499999999999993">
      <c r="A160" s="29">
        <v>46266</v>
      </c>
      <c r="B160" s="22">
        <v>3392921</v>
      </c>
      <c r="C160" s="17" t="s">
        <v>90</v>
      </c>
      <c r="D160" s="17" t="s">
        <v>38</v>
      </c>
      <c r="E160" s="17" t="s">
        <v>38</v>
      </c>
      <c r="F160" s="17"/>
      <c r="G160" s="17" t="str">
        <f>Table1[[#This Row],[DESCRIPCION_POSICION]]</f>
        <v>Oficial Especializado de Oficios</v>
      </c>
      <c r="H160" s="17" t="s">
        <v>504</v>
      </c>
      <c r="I160" s="17" t="s">
        <v>40</v>
      </c>
      <c r="J160" s="17" t="s">
        <v>68</v>
      </c>
      <c r="K160" s="17" t="s">
        <v>84</v>
      </c>
      <c r="L160" s="36" t="s">
        <v>495</v>
      </c>
      <c r="M160" s="103"/>
      <c r="N160" s="38" t="s">
        <v>505</v>
      </c>
      <c r="O160" s="36" t="str">
        <f>VLOOKUP(L160,CECOs!A:B,2,0)</f>
        <v>Mtto Eléctrico SALA</v>
      </c>
      <c r="P160" s="17" t="str">
        <f>VLOOKUP(B:B,CECOs!G:I,3,FALSE)</f>
        <v>Relevomantenimiento</v>
      </c>
      <c r="Q160" s="17" t="str">
        <f>IF(_xlfn.XLOOKUP(L160,CECOs!A:A,CECOs!C:C,"")="",K160,_xlfn.XLOOKUP(L160,CECOs!A:A,CECOs!C:C,""))</f>
        <v>BECHARA, LUCAS ANTONIO</v>
      </c>
      <c r="R160" s="17" t="s">
        <v>38</v>
      </c>
      <c r="S160" s="17" t="s">
        <v>45</v>
      </c>
      <c r="T160" s="17" t="s">
        <v>57</v>
      </c>
      <c r="U160" s="17" t="s">
        <v>94</v>
      </c>
      <c r="V160" s="17" t="s">
        <v>95</v>
      </c>
      <c r="W160" s="17"/>
      <c r="X160" s="17"/>
      <c r="Y160" s="17"/>
      <c r="Z160" s="17"/>
      <c r="AA160" s="17"/>
      <c r="AB160" s="17" t="s">
        <v>49</v>
      </c>
      <c r="AC160" s="17"/>
      <c r="AD160" s="17" t="s">
        <v>50</v>
      </c>
      <c r="AE160" s="17"/>
      <c r="AF160" s="17"/>
      <c r="AG160" s="17"/>
      <c r="AH160" s="17"/>
      <c r="AI160" s="17"/>
      <c r="AJ160" s="17"/>
      <c r="AK160" s="29"/>
    </row>
    <row r="161" spans="1:37" ht="9.9499999999999993">
      <c r="A161" s="29">
        <v>46266</v>
      </c>
      <c r="B161" s="22">
        <v>3392922</v>
      </c>
      <c r="C161" s="17" t="s">
        <v>402</v>
      </c>
      <c r="D161" s="17" t="s">
        <v>38</v>
      </c>
      <c r="E161" s="17" t="s">
        <v>38</v>
      </c>
      <c r="F161" s="17"/>
      <c r="G161" s="17" t="str">
        <f>Table1[[#This Row],[DESCRIPCION_POSICION]]</f>
        <v>Operador Principal de Cuadrilla</v>
      </c>
      <c r="H161" s="17" t="s">
        <v>506</v>
      </c>
      <c r="I161" s="17" t="s">
        <v>40</v>
      </c>
      <c r="J161" s="17" t="s">
        <v>68</v>
      </c>
      <c r="K161" s="17" t="s">
        <v>84</v>
      </c>
      <c r="L161" s="36" t="s">
        <v>507</v>
      </c>
      <c r="M161" s="103"/>
      <c r="N161" s="38" t="s">
        <v>508</v>
      </c>
      <c r="O161" s="36" t="str">
        <f>VLOOKUP(L161,CECOs!A:B,2,0)</f>
        <v>Soldadura SALA</v>
      </c>
      <c r="P161" s="17" t="str">
        <f>VLOOKUP(B:B,CECOs!G:I,3,FALSE)</f>
        <v>Cuadrillasoldadura-SoldadorO&amp;M</v>
      </c>
      <c r="Q161" s="17" t="str">
        <f>IF(_xlfn.XLOOKUP(L161,CECOs!A:A,CECOs!C:C,"")="",K161,_xlfn.XLOOKUP(L161,CECOs!A:A,CECOs!C:C,""))</f>
        <v>BECHARA, LUCAS ANTONIO</v>
      </c>
      <c r="R161" s="17" t="s">
        <v>38</v>
      </c>
      <c r="S161" s="17" t="s">
        <v>45</v>
      </c>
      <c r="T161" s="17" t="s">
        <v>57</v>
      </c>
      <c r="U161" s="17" t="s">
        <v>94</v>
      </c>
      <c r="V161" s="17" t="s">
        <v>95</v>
      </c>
      <c r="W161" s="17"/>
      <c r="X161" s="17"/>
      <c r="Y161" s="17"/>
      <c r="Z161" s="17"/>
      <c r="AA161" s="17"/>
      <c r="AB161" s="17" t="s">
        <v>49</v>
      </c>
      <c r="AC161" s="17"/>
      <c r="AD161" s="17" t="s">
        <v>50</v>
      </c>
      <c r="AE161" s="17"/>
      <c r="AF161" s="17"/>
      <c r="AG161" s="17"/>
      <c r="AH161" s="17"/>
      <c r="AI161" s="17"/>
      <c r="AJ161" s="17"/>
      <c r="AK161" s="29"/>
    </row>
    <row r="162" spans="1:37" ht="9.9499999999999993">
      <c r="A162" s="29">
        <v>46266</v>
      </c>
      <c r="B162" s="22">
        <v>3392923</v>
      </c>
      <c r="C162" s="17" t="s">
        <v>410</v>
      </c>
      <c r="D162" s="17" t="s">
        <v>38</v>
      </c>
      <c r="E162" s="17" t="s">
        <v>38</v>
      </c>
      <c r="F162" s="17"/>
      <c r="G162" s="17" t="str">
        <f>Table1[[#This Row],[DESCRIPCION_POSICION]]</f>
        <v>Oficial de Oficios</v>
      </c>
      <c r="H162" s="17" t="s">
        <v>509</v>
      </c>
      <c r="I162" s="17" t="s">
        <v>40</v>
      </c>
      <c r="J162" s="17" t="s">
        <v>68</v>
      </c>
      <c r="K162" s="17" t="s">
        <v>84</v>
      </c>
      <c r="L162" s="36" t="s">
        <v>507</v>
      </c>
      <c r="M162" s="103"/>
      <c r="N162" s="38" t="s">
        <v>510</v>
      </c>
      <c r="O162" s="36" t="str">
        <f>VLOOKUP(L162,CECOs!A:B,2,0)</f>
        <v>Soldadura SALA</v>
      </c>
      <c r="P162" s="17" t="str">
        <f>VLOOKUP(B:B,CECOs!G:I,3,FALSE)</f>
        <v>Cuadrillasoldadura-CañistaO&amp;M</v>
      </c>
      <c r="Q162" s="17" t="str">
        <f>IF(_xlfn.XLOOKUP(L162,CECOs!A:A,CECOs!C:C,"")="",K162,_xlfn.XLOOKUP(L162,CECOs!A:A,CECOs!C:C,""))</f>
        <v>BECHARA, LUCAS ANTONIO</v>
      </c>
      <c r="R162" s="17" t="s">
        <v>38</v>
      </c>
      <c r="S162" s="17" t="s">
        <v>45</v>
      </c>
      <c r="T162" s="17" t="s">
        <v>57</v>
      </c>
      <c r="U162" s="17" t="s">
        <v>94</v>
      </c>
      <c r="V162" s="17" t="s">
        <v>95</v>
      </c>
      <c r="W162" s="17"/>
      <c r="X162" s="17"/>
      <c r="Y162" s="17"/>
      <c r="Z162" s="17"/>
      <c r="AA162" s="17"/>
      <c r="AB162" s="17" t="s">
        <v>49</v>
      </c>
      <c r="AC162" s="17"/>
      <c r="AD162" s="17" t="s">
        <v>50</v>
      </c>
      <c r="AE162" s="17"/>
      <c r="AF162" s="17"/>
      <c r="AG162" s="17"/>
      <c r="AH162" s="17"/>
      <c r="AI162" s="17"/>
      <c r="AJ162" s="17"/>
      <c r="AK162" s="29"/>
    </row>
    <row r="163" spans="1:37" ht="9.9499999999999993">
      <c r="A163" s="29">
        <v>46266</v>
      </c>
      <c r="B163" s="22">
        <v>3392924</v>
      </c>
      <c r="C163" s="17" t="s">
        <v>90</v>
      </c>
      <c r="D163" s="17" t="s">
        <v>38</v>
      </c>
      <c r="E163" s="17" t="s">
        <v>38</v>
      </c>
      <c r="F163" s="17"/>
      <c r="G163" s="17" t="str">
        <f>Table1[[#This Row],[DESCRIPCION_POSICION]]</f>
        <v>Oficial Especializado de Oficios</v>
      </c>
      <c r="H163" s="17" t="s">
        <v>511</v>
      </c>
      <c r="I163" s="17" t="s">
        <v>40</v>
      </c>
      <c r="J163" s="17" t="s">
        <v>68</v>
      </c>
      <c r="K163" s="17" t="s">
        <v>84</v>
      </c>
      <c r="L163" s="36" t="s">
        <v>507</v>
      </c>
      <c r="M163" s="103"/>
      <c r="N163" s="38" t="s">
        <v>512</v>
      </c>
      <c r="O163" s="36" t="str">
        <f>VLOOKUP(L163,CECOs!A:B,2,0)</f>
        <v>Soldadura SALA</v>
      </c>
      <c r="P163" s="17" t="str">
        <f>VLOOKUP(B:B,CECOs!G:I,3,FALSE)</f>
        <v>Cuadrillasoldadura-AmoladorO&amp;M</v>
      </c>
      <c r="Q163" s="17" t="str">
        <f>IF(_xlfn.XLOOKUP(L163,CECOs!A:A,CECOs!C:C,"")="",K163,_xlfn.XLOOKUP(L163,CECOs!A:A,CECOs!C:C,""))</f>
        <v>BECHARA, LUCAS ANTONIO</v>
      </c>
      <c r="R163" s="17" t="s">
        <v>38</v>
      </c>
      <c r="S163" s="17" t="s">
        <v>45</v>
      </c>
      <c r="T163" s="17" t="s">
        <v>57</v>
      </c>
      <c r="U163" s="17" t="s">
        <v>94</v>
      </c>
      <c r="V163" s="17" t="s">
        <v>95</v>
      </c>
      <c r="W163" s="17"/>
      <c r="X163" s="17"/>
      <c r="Y163" s="17"/>
      <c r="Z163" s="17"/>
      <c r="AA163" s="17"/>
      <c r="AB163" s="17" t="s">
        <v>49</v>
      </c>
      <c r="AC163" s="17"/>
      <c r="AD163" s="17" t="s">
        <v>50</v>
      </c>
      <c r="AE163" s="17"/>
      <c r="AF163" s="17"/>
      <c r="AG163" s="17"/>
      <c r="AH163" s="17"/>
      <c r="AI163" s="17"/>
      <c r="AJ163" s="17"/>
      <c r="AK163" s="29"/>
    </row>
    <row r="164" spans="1:37" ht="9.9499999999999993">
      <c r="A164" s="29">
        <v>46266</v>
      </c>
      <c r="B164" s="22">
        <v>3392925</v>
      </c>
      <c r="C164" s="17" t="s">
        <v>274</v>
      </c>
      <c r="D164" s="17" t="s">
        <v>38</v>
      </c>
      <c r="E164" s="17" t="s">
        <v>38</v>
      </c>
      <c r="F164" s="17"/>
      <c r="G164" s="17" t="str">
        <f>Table1[[#This Row],[DESCRIPCION_POSICION]]</f>
        <v>Operador Especializado de Plantas</v>
      </c>
      <c r="H164" s="22" t="s">
        <v>513</v>
      </c>
      <c r="I164" s="17" t="s">
        <v>40</v>
      </c>
      <c r="J164" s="17" t="s">
        <v>68</v>
      </c>
      <c r="K164" s="17" t="s">
        <v>86</v>
      </c>
      <c r="L164" s="36" t="s">
        <v>514</v>
      </c>
      <c r="M164" s="103"/>
      <c r="N164" s="37" t="s">
        <v>515</v>
      </c>
      <c r="O164" s="36" t="str">
        <f>VLOOKUP(L164,CECOs!A:B,2,0)</f>
        <v>Oper. EPF FP</v>
      </c>
      <c r="P164" s="17" t="str">
        <f>VLOOKUP(B:B,CECOs!G:I,3,FALSE)</f>
        <v>OperadordeplantaEPF</v>
      </c>
      <c r="Q164" s="17" t="str">
        <f>IF(_xlfn.XLOOKUP(L164,CECOs!A:A,CECOs!C:C,"")="",K164,_xlfn.XLOOKUP(L164,CECOs!A:A,CECOs!C:C,""))</f>
        <v>HUARTE, ESTEBAN</v>
      </c>
      <c r="R164" s="17" t="s">
        <v>38</v>
      </c>
      <c r="S164" s="17" t="s">
        <v>45</v>
      </c>
      <c r="T164" s="17" t="s">
        <v>61</v>
      </c>
      <c r="U164" s="17" t="s">
        <v>217</v>
      </c>
      <c r="V164" s="17" t="s">
        <v>95</v>
      </c>
      <c r="W164" s="17"/>
      <c r="X164" s="17"/>
      <c r="Y164" s="17"/>
      <c r="Z164" s="17"/>
      <c r="AA164" s="17"/>
      <c r="AB164" s="17" t="s">
        <v>49</v>
      </c>
      <c r="AC164" s="17"/>
      <c r="AD164" s="17" t="s">
        <v>50</v>
      </c>
      <c r="AE164" s="17"/>
      <c r="AF164" s="17"/>
      <c r="AG164" s="17"/>
      <c r="AH164" s="17"/>
      <c r="AI164" s="17"/>
      <c r="AJ164" s="17"/>
      <c r="AK164" s="29"/>
    </row>
    <row r="165" spans="1:37" ht="9.9499999999999993">
      <c r="A165" s="29">
        <v>46266</v>
      </c>
      <c r="B165" s="22">
        <v>3392926</v>
      </c>
      <c r="C165" s="17" t="s">
        <v>274</v>
      </c>
      <c r="D165" s="17" t="s">
        <v>38</v>
      </c>
      <c r="E165" s="17" t="s">
        <v>38</v>
      </c>
      <c r="F165" s="17"/>
      <c r="G165" s="17" t="str">
        <f>Table1[[#This Row],[DESCRIPCION_POSICION]]</f>
        <v>Operador Especializado de Plantas</v>
      </c>
      <c r="H165" s="17" t="s">
        <v>516</v>
      </c>
      <c r="I165" s="17" t="s">
        <v>40</v>
      </c>
      <c r="J165" s="17" t="s">
        <v>68</v>
      </c>
      <c r="K165" s="17" t="s">
        <v>86</v>
      </c>
      <c r="L165" s="36" t="s">
        <v>514</v>
      </c>
      <c r="M165" s="103"/>
      <c r="N165" s="38" t="s">
        <v>517</v>
      </c>
      <c r="O165" s="36" t="str">
        <f>VLOOKUP(L165,CECOs!A:B,2,0)</f>
        <v>Oper. EPF FP</v>
      </c>
      <c r="P165" s="17" t="str">
        <f>VLOOKUP(B:B,CECOs!G:I,3,FALSE)</f>
        <v>OperadordeplantaEPF</v>
      </c>
      <c r="Q165" s="17" t="str">
        <f>IF(_xlfn.XLOOKUP(L165,CECOs!A:A,CECOs!C:C,"")="",K165,_xlfn.XLOOKUP(L165,CECOs!A:A,CECOs!C:C,""))</f>
        <v>HUARTE, ESTEBAN</v>
      </c>
      <c r="R165" s="17" t="s">
        <v>38</v>
      </c>
      <c r="S165" s="17" t="s">
        <v>45</v>
      </c>
      <c r="T165" s="17" t="s">
        <v>61</v>
      </c>
      <c r="U165" s="17" t="s">
        <v>217</v>
      </c>
      <c r="V165" s="17" t="s">
        <v>95</v>
      </c>
      <c r="W165" s="17"/>
      <c r="X165" s="17"/>
      <c r="Y165" s="17"/>
      <c r="Z165" s="17"/>
      <c r="AA165" s="17"/>
      <c r="AB165" s="17" t="s">
        <v>49</v>
      </c>
      <c r="AC165" s="17"/>
      <c r="AD165" s="17" t="s">
        <v>50</v>
      </c>
      <c r="AE165" s="17"/>
      <c r="AF165" s="17"/>
      <c r="AG165" s="17"/>
      <c r="AH165" s="17"/>
      <c r="AI165" s="17"/>
      <c r="AJ165" s="17"/>
      <c r="AK165" s="29"/>
    </row>
    <row r="166" spans="1:37" ht="9.9499999999999993">
      <c r="A166" s="29">
        <v>46266</v>
      </c>
      <c r="B166" s="22">
        <v>3392927</v>
      </c>
      <c r="C166" s="17" t="s">
        <v>274</v>
      </c>
      <c r="D166" s="17" t="s">
        <v>38</v>
      </c>
      <c r="E166" s="17" t="s">
        <v>38</v>
      </c>
      <c r="F166" s="17"/>
      <c r="G166" s="17" t="str">
        <f>Table1[[#This Row],[DESCRIPCION_POSICION]]</f>
        <v>Operador Especializado de Plantas</v>
      </c>
      <c r="H166" s="17" t="s">
        <v>518</v>
      </c>
      <c r="I166" s="17" t="s">
        <v>40</v>
      </c>
      <c r="J166" s="17" t="s">
        <v>68</v>
      </c>
      <c r="K166" s="17" t="s">
        <v>86</v>
      </c>
      <c r="L166" s="36" t="s">
        <v>514</v>
      </c>
      <c r="M166" s="103"/>
      <c r="N166" s="38" t="s">
        <v>519</v>
      </c>
      <c r="O166" s="36" t="str">
        <f>VLOOKUP(L166,CECOs!A:B,2,0)</f>
        <v>Oper. EPF FP</v>
      </c>
      <c r="P166" s="17" t="str">
        <f>VLOOKUP(B:B,CECOs!G:I,3,FALSE)</f>
        <v>OperadordeplantaEPF</v>
      </c>
      <c r="Q166" s="17" t="str">
        <f>IF(_xlfn.XLOOKUP(L166,CECOs!A:A,CECOs!C:C,"")="",K166,_xlfn.XLOOKUP(L166,CECOs!A:A,CECOs!C:C,""))</f>
        <v>HUARTE, ESTEBAN</v>
      </c>
      <c r="R166" s="17" t="s">
        <v>38</v>
      </c>
      <c r="S166" s="17" t="s">
        <v>45</v>
      </c>
      <c r="T166" s="17" t="s">
        <v>61</v>
      </c>
      <c r="U166" s="17" t="s">
        <v>217</v>
      </c>
      <c r="V166" s="17" t="s">
        <v>95</v>
      </c>
      <c r="W166" s="17"/>
      <c r="X166" s="17"/>
      <c r="Y166" s="17"/>
      <c r="Z166" s="17"/>
      <c r="AA166" s="17"/>
      <c r="AB166" s="17" t="s">
        <v>49</v>
      </c>
      <c r="AC166" s="17"/>
      <c r="AD166" s="17" t="s">
        <v>50</v>
      </c>
      <c r="AE166" s="17"/>
      <c r="AF166" s="17"/>
      <c r="AG166" s="17"/>
      <c r="AH166" s="17"/>
      <c r="AI166" s="17"/>
      <c r="AJ166" s="17"/>
      <c r="AK166" s="29"/>
    </row>
    <row r="167" spans="1:37" ht="9.9499999999999993">
      <c r="A167" s="29">
        <v>46266</v>
      </c>
      <c r="B167" s="22">
        <v>3392941</v>
      </c>
      <c r="C167" s="17" t="s">
        <v>274</v>
      </c>
      <c r="D167" s="17" t="s">
        <v>38</v>
      </c>
      <c r="E167" s="17" t="s">
        <v>38</v>
      </c>
      <c r="F167" s="17"/>
      <c r="G167" s="17" t="str">
        <f>Table1[[#This Row],[DESCRIPCION_POSICION]]</f>
        <v>Operador Especializado de Plantas</v>
      </c>
      <c r="H167" s="17" t="s">
        <v>520</v>
      </c>
      <c r="I167" s="17" t="s">
        <v>40</v>
      </c>
      <c r="J167" s="17" t="s">
        <v>68</v>
      </c>
      <c r="K167" s="17" t="s">
        <v>86</v>
      </c>
      <c r="L167" s="36" t="s">
        <v>521</v>
      </c>
      <c r="M167" s="103"/>
      <c r="N167" s="38" t="s">
        <v>522</v>
      </c>
      <c r="O167" s="36" t="str">
        <f>VLOOKUP(L167,CECOs!A:B,2,0)</f>
        <v>Oper. LTS FP</v>
      </c>
      <c r="P167" s="17" t="str">
        <f>VLOOKUP(B:B,CECOs!G:I,3,FALSE)</f>
        <v>OperadorLTS</v>
      </c>
      <c r="Q167" s="17" t="str">
        <f>IF(_xlfn.XLOOKUP(L167,CECOs!A:A,CECOs!C:C,"")="",K167,_xlfn.XLOOKUP(L167,CECOs!A:A,CECOs!C:C,""))</f>
        <v>HUARTE, ESTEBAN</v>
      </c>
      <c r="R167" s="17" t="s">
        <v>38</v>
      </c>
      <c r="S167" s="17" t="s">
        <v>45</v>
      </c>
      <c r="T167" s="17" t="s">
        <v>61</v>
      </c>
      <c r="U167" s="17" t="s">
        <v>217</v>
      </c>
      <c r="V167" s="17" t="s">
        <v>95</v>
      </c>
      <c r="W167" s="17"/>
      <c r="X167" s="17"/>
      <c r="Y167" s="17"/>
      <c r="Z167" s="17"/>
      <c r="AA167" s="17"/>
      <c r="AB167" s="17" t="s">
        <v>49</v>
      </c>
      <c r="AC167" s="17"/>
      <c r="AD167" s="17" t="s">
        <v>50</v>
      </c>
      <c r="AE167" s="17"/>
      <c r="AF167" s="17"/>
      <c r="AG167" s="17"/>
      <c r="AH167" s="17"/>
      <c r="AI167" s="17"/>
      <c r="AJ167" s="17"/>
      <c r="AK167" s="29"/>
    </row>
    <row r="168" spans="1:37" ht="9.9499999999999993">
      <c r="A168" s="29">
        <v>46266</v>
      </c>
      <c r="B168" s="22">
        <v>3392929</v>
      </c>
      <c r="C168" s="17" t="s">
        <v>274</v>
      </c>
      <c r="D168" s="17" t="s">
        <v>38</v>
      </c>
      <c r="E168" s="17" t="s">
        <v>38</v>
      </c>
      <c r="F168" s="17"/>
      <c r="G168" s="17" t="str">
        <f>Table1[[#This Row],[DESCRIPCION_POSICION]]</f>
        <v>Operador Especializado de Plantas</v>
      </c>
      <c r="H168" s="17" t="s">
        <v>523</v>
      </c>
      <c r="I168" s="17" t="s">
        <v>40</v>
      </c>
      <c r="J168" s="17" t="s">
        <v>68</v>
      </c>
      <c r="K168" s="17" t="s">
        <v>86</v>
      </c>
      <c r="L168" s="36" t="s">
        <v>514</v>
      </c>
      <c r="M168" s="103"/>
      <c r="N168" s="38" t="s">
        <v>524</v>
      </c>
      <c r="O168" s="36" t="str">
        <f>VLOOKUP(L168,CECOs!A:B,2,0)</f>
        <v>Oper. EPF FP</v>
      </c>
      <c r="P168" s="17" t="str">
        <f>VLOOKUP(B:B,CECOs!G:I,3,FALSE)</f>
        <v>OperadordeplantaEPF</v>
      </c>
      <c r="Q168" s="17" t="str">
        <f>IF(_xlfn.XLOOKUP(L168,CECOs!A:A,CECOs!C:C,"")="",K168,_xlfn.XLOOKUP(L168,CECOs!A:A,CECOs!C:C,""))</f>
        <v>HUARTE, ESTEBAN</v>
      </c>
      <c r="R168" s="17" t="s">
        <v>38</v>
      </c>
      <c r="S168" s="17" t="s">
        <v>45</v>
      </c>
      <c r="T168" s="17" t="s">
        <v>61</v>
      </c>
      <c r="U168" s="17" t="s">
        <v>217</v>
      </c>
      <c r="V168" s="17" t="s">
        <v>95</v>
      </c>
      <c r="W168" s="17"/>
      <c r="X168" s="17"/>
      <c r="Y168" s="17"/>
      <c r="Z168" s="17"/>
      <c r="AA168" s="17"/>
      <c r="AB168" s="17" t="s">
        <v>49</v>
      </c>
      <c r="AC168" s="17"/>
      <c r="AD168" s="17" t="s">
        <v>50</v>
      </c>
      <c r="AE168" s="17"/>
      <c r="AF168" s="17"/>
      <c r="AG168" s="17"/>
      <c r="AH168" s="17"/>
      <c r="AI168" s="17"/>
      <c r="AJ168" s="17"/>
      <c r="AK168" s="29"/>
    </row>
    <row r="169" spans="1:37" ht="9.9499999999999993">
      <c r="A169" s="29">
        <v>46266</v>
      </c>
      <c r="B169" s="22">
        <v>3392930</v>
      </c>
      <c r="C169" s="17" t="s">
        <v>274</v>
      </c>
      <c r="D169" s="17" t="s">
        <v>38</v>
      </c>
      <c r="E169" s="17" t="s">
        <v>38</v>
      </c>
      <c r="F169" s="17"/>
      <c r="G169" s="17" t="str">
        <f>Table1[[#This Row],[DESCRIPCION_POSICION]]</f>
        <v>Operador Especializado de Plantas</v>
      </c>
      <c r="H169" s="17" t="s">
        <v>525</v>
      </c>
      <c r="I169" s="17" t="s">
        <v>40</v>
      </c>
      <c r="J169" s="17" t="s">
        <v>68</v>
      </c>
      <c r="K169" s="17" t="s">
        <v>86</v>
      </c>
      <c r="L169" s="36" t="s">
        <v>514</v>
      </c>
      <c r="M169" s="103"/>
      <c r="N169" s="38" t="s">
        <v>526</v>
      </c>
      <c r="O169" s="36" t="str">
        <f>VLOOKUP(L169,CECOs!A:B,2,0)</f>
        <v>Oper. EPF FP</v>
      </c>
      <c r="P169" s="17" t="str">
        <f>VLOOKUP(B:B,CECOs!G:I,3,FALSE)</f>
        <v>OperadordeplantaEPF</v>
      </c>
      <c r="Q169" s="17" t="str">
        <f>IF(_xlfn.XLOOKUP(L169,CECOs!A:A,CECOs!C:C,"")="",K169,_xlfn.XLOOKUP(L169,CECOs!A:A,CECOs!C:C,""))</f>
        <v>HUARTE, ESTEBAN</v>
      </c>
      <c r="R169" s="17" t="s">
        <v>38</v>
      </c>
      <c r="S169" s="17" t="s">
        <v>45</v>
      </c>
      <c r="T169" s="17" t="s">
        <v>61</v>
      </c>
      <c r="U169" s="17" t="s">
        <v>217</v>
      </c>
      <c r="V169" s="17" t="s">
        <v>95</v>
      </c>
      <c r="W169" s="17"/>
      <c r="X169" s="17"/>
      <c r="Y169" s="17"/>
      <c r="Z169" s="17"/>
      <c r="AA169" s="17"/>
      <c r="AB169" s="17" t="s">
        <v>49</v>
      </c>
      <c r="AC169" s="17"/>
      <c r="AD169" s="17" t="s">
        <v>50</v>
      </c>
      <c r="AE169" s="17"/>
      <c r="AF169" s="17"/>
      <c r="AG169" s="17"/>
      <c r="AH169" s="17"/>
      <c r="AI169" s="17"/>
      <c r="AJ169" s="17"/>
      <c r="AK169" s="29"/>
    </row>
    <row r="170" spans="1:37" ht="9.9499999999999993">
      <c r="A170" s="29">
        <v>46266</v>
      </c>
      <c r="B170" s="22">
        <v>3392935</v>
      </c>
      <c r="C170" s="17" t="s">
        <v>274</v>
      </c>
      <c r="D170" s="17" t="s">
        <v>38</v>
      </c>
      <c r="E170" s="17" t="s">
        <v>38</v>
      </c>
      <c r="F170" s="17"/>
      <c r="G170" s="17" t="str">
        <f>Table1[[#This Row],[DESCRIPCION_POSICION]]</f>
        <v>Operador Especializado de Plantas</v>
      </c>
      <c r="H170" s="17" t="s">
        <v>527</v>
      </c>
      <c r="I170" s="17" t="s">
        <v>40</v>
      </c>
      <c r="J170" s="17" t="s">
        <v>68</v>
      </c>
      <c r="K170" s="17" t="s">
        <v>86</v>
      </c>
      <c r="L170" s="36" t="s">
        <v>521</v>
      </c>
      <c r="M170" s="103"/>
      <c r="N170" s="38" t="s">
        <v>528</v>
      </c>
      <c r="O170" s="36" t="str">
        <f>VLOOKUP(L170,CECOs!A:B,2,0)</f>
        <v>Oper. LTS FP</v>
      </c>
      <c r="P170" s="17" t="str">
        <f>VLOOKUP(B:B,CECOs!G:I,3,FALSE)</f>
        <v>OperadorLTS</v>
      </c>
      <c r="Q170" s="17" t="str">
        <f>IF(_xlfn.XLOOKUP(L170,CECOs!A:A,CECOs!C:C,"")="",K170,_xlfn.XLOOKUP(L170,CECOs!A:A,CECOs!C:C,""))</f>
        <v>HUARTE, ESTEBAN</v>
      </c>
      <c r="R170" s="17" t="s">
        <v>38</v>
      </c>
      <c r="S170" s="17" t="s">
        <v>45</v>
      </c>
      <c r="T170" s="17" t="s">
        <v>61</v>
      </c>
      <c r="U170" s="17" t="s">
        <v>217</v>
      </c>
      <c r="V170" s="17" t="s">
        <v>95</v>
      </c>
      <c r="W170" s="17"/>
      <c r="X170" s="17"/>
      <c r="Y170" s="17"/>
      <c r="Z170" s="17"/>
      <c r="AA170" s="17"/>
      <c r="AB170" s="17" t="s">
        <v>49</v>
      </c>
      <c r="AC170" s="17"/>
      <c r="AD170" s="17" t="s">
        <v>50</v>
      </c>
      <c r="AE170" s="17"/>
      <c r="AF170" s="17"/>
      <c r="AG170" s="17"/>
      <c r="AH170" s="17"/>
      <c r="AI170" s="17"/>
      <c r="AJ170" s="17"/>
      <c r="AK170" s="29"/>
    </row>
    <row r="171" spans="1:37" ht="9.9499999999999993">
      <c r="A171" s="29">
        <v>46266</v>
      </c>
      <c r="B171" s="22">
        <v>3392932</v>
      </c>
      <c r="C171" s="17" t="s">
        <v>274</v>
      </c>
      <c r="D171" s="17" t="s">
        <v>38</v>
      </c>
      <c r="E171" s="17" t="s">
        <v>38</v>
      </c>
      <c r="F171" s="17"/>
      <c r="G171" s="17" t="str">
        <f>Table1[[#This Row],[DESCRIPCION_POSICION]]</f>
        <v>Operador Especializado de Plantas</v>
      </c>
      <c r="H171" s="17" t="s">
        <v>529</v>
      </c>
      <c r="I171" s="17" t="s">
        <v>40</v>
      </c>
      <c r="J171" s="17" t="s">
        <v>68</v>
      </c>
      <c r="K171" s="17" t="s">
        <v>86</v>
      </c>
      <c r="L171" s="36" t="s">
        <v>514</v>
      </c>
      <c r="M171" s="103"/>
      <c r="N171" s="38" t="s">
        <v>530</v>
      </c>
      <c r="O171" s="36" t="str">
        <f>VLOOKUP(L171,CECOs!A:B,2,0)</f>
        <v>Oper. EPF FP</v>
      </c>
      <c r="P171" s="17" t="str">
        <f>VLOOKUP(B:B,CECOs!G:I,3,FALSE)</f>
        <v>OperadordeplantaEPF</v>
      </c>
      <c r="Q171" s="17" t="str">
        <f>IF(_xlfn.XLOOKUP(L171,CECOs!A:A,CECOs!C:C,"")="",K171,_xlfn.XLOOKUP(L171,CECOs!A:A,CECOs!C:C,""))</f>
        <v>HUARTE, ESTEBAN</v>
      </c>
      <c r="R171" s="17" t="s">
        <v>38</v>
      </c>
      <c r="S171" s="17" t="s">
        <v>45</v>
      </c>
      <c r="T171" s="17" t="s">
        <v>61</v>
      </c>
      <c r="U171" s="17" t="s">
        <v>217</v>
      </c>
      <c r="V171" s="17" t="s">
        <v>95</v>
      </c>
      <c r="W171" s="17"/>
      <c r="X171" s="17"/>
      <c r="Y171" s="17"/>
      <c r="Z171" s="17"/>
      <c r="AA171" s="17"/>
      <c r="AB171" s="17" t="s">
        <v>49</v>
      </c>
      <c r="AC171" s="17"/>
      <c r="AD171" s="17" t="s">
        <v>50</v>
      </c>
      <c r="AE171" s="17"/>
      <c r="AF171" s="17"/>
      <c r="AG171" s="17"/>
      <c r="AH171" s="17"/>
      <c r="AI171" s="17"/>
      <c r="AJ171" s="17"/>
      <c r="AK171" s="29"/>
    </row>
    <row r="172" spans="1:37" ht="9.9499999999999993">
      <c r="A172" s="29">
        <v>46266</v>
      </c>
      <c r="B172" s="22">
        <v>3392933</v>
      </c>
      <c r="C172" s="17" t="s">
        <v>274</v>
      </c>
      <c r="D172" s="17" t="s">
        <v>38</v>
      </c>
      <c r="E172" s="17" t="s">
        <v>38</v>
      </c>
      <c r="F172" s="17"/>
      <c r="G172" s="17" t="str">
        <f>Table1[[#This Row],[DESCRIPCION_POSICION]]</f>
        <v>Operador Especializado de Plantas</v>
      </c>
      <c r="H172" s="22" t="s">
        <v>531</v>
      </c>
      <c r="I172" s="17" t="s">
        <v>40</v>
      </c>
      <c r="J172" s="17" t="s">
        <v>68</v>
      </c>
      <c r="K172" s="17" t="s">
        <v>86</v>
      </c>
      <c r="L172" s="36" t="s">
        <v>514</v>
      </c>
      <c r="M172" s="103"/>
      <c r="N172" s="37" t="s">
        <v>532</v>
      </c>
      <c r="O172" s="36" t="str">
        <f>VLOOKUP(L172,CECOs!A:B,2,0)</f>
        <v>Oper. EPF FP</v>
      </c>
      <c r="P172" s="17" t="str">
        <f>VLOOKUP(B:B,CECOs!G:I,3,FALSE)</f>
        <v>OperadordeplantaEPF</v>
      </c>
      <c r="Q172" s="17" t="str">
        <f>IF(_xlfn.XLOOKUP(L172,CECOs!A:A,CECOs!C:C,"")="",K172,_xlfn.XLOOKUP(L172,CECOs!A:A,CECOs!C:C,""))</f>
        <v>HUARTE, ESTEBAN</v>
      </c>
      <c r="R172" s="17" t="s">
        <v>38</v>
      </c>
      <c r="S172" s="17" t="s">
        <v>45</v>
      </c>
      <c r="T172" s="17" t="s">
        <v>61</v>
      </c>
      <c r="U172" s="17" t="s">
        <v>217</v>
      </c>
      <c r="V172" s="17" t="s">
        <v>95</v>
      </c>
      <c r="W172" s="17"/>
      <c r="X172" s="17"/>
      <c r="Y172" s="17"/>
      <c r="Z172" s="17"/>
      <c r="AA172" s="17"/>
      <c r="AB172" s="17" t="s">
        <v>49</v>
      </c>
      <c r="AC172" s="17"/>
      <c r="AD172" s="17" t="s">
        <v>50</v>
      </c>
      <c r="AE172" s="17"/>
      <c r="AF172" s="17"/>
      <c r="AG172" s="17"/>
      <c r="AH172" s="17"/>
      <c r="AI172" s="17"/>
      <c r="AJ172" s="17"/>
      <c r="AK172" s="29"/>
    </row>
    <row r="173" spans="1:37" ht="9.9499999999999993">
      <c r="A173" s="29">
        <v>46266</v>
      </c>
      <c r="B173" s="22">
        <v>3392934</v>
      </c>
      <c r="C173" s="17" t="s">
        <v>274</v>
      </c>
      <c r="D173" s="17" t="s">
        <v>38</v>
      </c>
      <c r="E173" s="17" t="s">
        <v>38</v>
      </c>
      <c r="F173" s="17"/>
      <c r="G173" s="17" t="str">
        <f>Table1[[#This Row],[DESCRIPCION_POSICION]]</f>
        <v>Operador Especializado de Plantas</v>
      </c>
      <c r="H173" s="17" t="s">
        <v>533</v>
      </c>
      <c r="I173" s="17" t="s">
        <v>40</v>
      </c>
      <c r="J173" s="17" t="s">
        <v>68</v>
      </c>
      <c r="K173" s="17" t="s">
        <v>86</v>
      </c>
      <c r="L173" s="36" t="s">
        <v>521</v>
      </c>
      <c r="M173" s="103"/>
      <c r="N173" s="38" t="s">
        <v>534</v>
      </c>
      <c r="O173" s="36" t="str">
        <f>VLOOKUP(L173,CECOs!A:B,2,0)</f>
        <v>Oper. LTS FP</v>
      </c>
      <c r="P173" s="17" t="str">
        <f>VLOOKUP(B:B,CECOs!G:I,3,FALSE)</f>
        <v>OperadorLTS</v>
      </c>
      <c r="Q173" s="17" t="str">
        <f>IF(_xlfn.XLOOKUP(L173,CECOs!A:A,CECOs!C:C,"")="",K173,_xlfn.XLOOKUP(L173,CECOs!A:A,CECOs!C:C,""))</f>
        <v>HUARTE, ESTEBAN</v>
      </c>
      <c r="R173" s="17" t="s">
        <v>38</v>
      </c>
      <c r="S173" s="17" t="s">
        <v>45</v>
      </c>
      <c r="T173" s="17" t="s">
        <v>61</v>
      </c>
      <c r="U173" s="17" t="s">
        <v>217</v>
      </c>
      <c r="V173" s="17" t="s">
        <v>95</v>
      </c>
      <c r="W173" s="17"/>
      <c r="X173" s="17"/>
      <c r="Y173" s="17"/>
      <c r="Z173" s="17"/>
      <c r="AA173" s="17"/>
      <c r="AB173" s="17" t="s">
        <v>49</v>
      </c>
      <c r="AC173" s="17"/>
      <c r="AD173" s="17" t="s">
        <v>50</v>
      </c>
      <c r="AE173" s="17"/>
      <c r="AF173" s="17"/>
      <c r="AG173" s="17"/>
      <c r="AH173" s="17"/>
      <c r="AI173" s="17"/>
      <c r="AJ173" s="17"/>
      <c r="AK173" s="29"/>
    </row>
    <row r="174" spans="1:37" ht="9.9499999999999993">
      <c r="A174" s="29">
        <v>46266</v>
      </c>
      <c r="B174" s="22">
        <v>3392958</v>
      </c>
      <c r="C174" s="17" t="s">
        <v>274</v>
      </c>
      <c r="D174" s="17" t="s">
        <v>38</v>
      </c>
      <c r="E174" s="17" t="s">
        <v>38</v>
      </c>
      <c r="F174" s="17"/>
      <c r="G174" s="17" t="str">
        <f>Table1[[#This Row],[DESCRIPCION_POSICION]]</f>
        <v>Operador Especializado de Plantas</v>
      </c>
      <c r="H174" s="22" t="s">
        <v>535</v>
      </c>
      <c r="I174" s="17" t="s">
        <v>40</v>
      </c>
      <c r="J174" s="17" t="s">
        <v>68</v>
      </c>
      <c r="K174" s="17" t="s">
        <v>86</v>
      </c>
      <c r="L174" s="36" t="s">
        <v>536</v>
      </c>
      <c r="M174" s="103"/>
      <c r="N174" s="37" t="s">
        <v>537</v>
      </c>
      <c r="O174" s="36" t="str">
        <f>VLOOKUP(L174,CECOs!A:B,2,0)</f>
        <v>Oper. PTA FP</v>
      </c>
      <c r="P174" s="17" t="str">
        <f>VLOOKUP(B:B,CECOs!G:I,3,FALSE)</f>
        <v>OperadordePlantadeAguaCPF</v>
      </c>
      <c r="Q174" s="17" t="str">
        <f>IF(_xlfn.XLOOKUP(L174,CECOs!A:A,CECOs!C:C,"")="",K174,_xlfn.XLOOKUP(L174,CECOs!A:A,CECOs!C:C,""))</f>
        <v>HUARTE, ESTEBAN</v>
      </c>
      <c r="R174" s="17" t="s">
        <v>38</v>
      </c>
      <c r="S174" s="17" t="s">
        <v>45</v>
      </c>
      <c r="T174" s="17" t="s">
        <v>61</v>
      </c>
      <c r="U174" s="17" t="s">
        <v>217</v>
      </c>
      <c r="V174" s="17" t="s">
        <v>95</v>
      </c>
      <c r="W174" s="17"/>
      <c r="X174" s="17"/>
      <c r="Y174" s="17"/>
      <c r="Z174" s="17"/>
      <c r="AA174" s="17"/>
      <c r="AB174" s="17" t="s">
        <v>49</v>
      </c>
      <c r="AC174" s="17"/>
      <c r="AD174" s="17" t="s">
        <v>50</v>
      </c>
      <c r="AE174" s="17"/>
      <c r="AF174" s="17"/>
      <c r="AG174" s="17"/>
      <c r="AH174" s="17"/>
      <c r="AI174" s="17"/>
      <c r="AJ174" s="17"/>
      <c r="AK174" s="29"/>
    </row>
    <row r="175" spans="1:37" ht="9.9499999999999993">
      <c r="A175" s="29">
        <v>46266</v>
      </c>
      <c r="B175" s="22">
        <v>3392936</v>
      </c>
      <c r="C175" s="17" t="s">
        <v>274</v>
      </c>
      <c r="D175" s="17" t="s">
        <v>38</v>
      </c>
      <c r="E175" s="17" t="s">
        <v>38</v>
      </c>
      <c r="F175" s="17"/>
      <c r="G175" s="17" t="str">
        <f>Table1[[#This Row],[DESCRIPCION_POSICION]]</f>
        <v>Operador Especializado de Plantas</v>
      </c>
      <c r="H175" s="17" t="s">
        <v>538</v>
      </c>
      <c r="I175" s="17" t="s">
        <v>40</v>
      </c>
      <c r="J175" s="17" t="s">
        <v>68</v>
      </c>
      <c r="K175" s="17" t="s">
        <v>86</v>
      </c>
      <c r="L175" s="36" t="s">
        <v>521</v>
      </c>
      <c r="M175" s="103"/>
      <c r="N175" s="38" t="s">
        <v>539</v>
      </c>
      <c r="O175" s="36" t="str">
        <f>VLOOKUP(L175,CECOs!A:B,2,0)</f>
        <v>Oper. LTS FP</v>
      </c>
      <c r="P175" s="17" t="str">
        <f>VLOOKUP(B:B,CECOs!G:I,3,FALSE)</f>
        <v>OperadorLTS</v>
      </c>
      <c r="Q175" s="17" t="str">
        <f>IF(_xlfn.XLOOKUP(L175,CECOs!A:A,CECOs!C:C,"")="",K175,_xlfn.XLOOKUP(L175,CECOs!A:A,CECOs!C:C,""))</f>
        <v>HUARTE, ESTEBAN</v>
      </c>
      <c r="R175" s="17" t="s">
        <v>38</v>
      </c>
      <c r="S175" s="17" t="s">
        <v>45</v>
      </c>
      <c r="T175" s="17" t="s">
        <v>61</v>
      </c>
      <c r="U175" s="17" t="s">
        <v>217</v>
      </c>
      <c r="V175" s="17" t="s">
        <v>95</v>
      </c>
      <c r="W175" s="17"/>
      <c r="X175" s="17"/>
      <c r="Y175" s="17"/>
      <c r="Z175" s="17"/>
      <c r="AA175" s="17"/>
      <c r="AB175" s="17" t="s">
        <v>49</v>
      </c>
      <c r="AC175" s="17"/>
      <c r="AD175" s="17" t="s">
        <v>50</v>
      </c>
      <c r="AE175" s="17"/>
      <c r="AF175" s="17"/>
      <c r="AG175" s="17"/>
      <c r="AH175" s="17"/>
      <c r="AI175" s="17"/>
      <c r="AJ175" s="17"/>
      <c r="AK175" s="29"/>
    </row>
    <row r="176" spans="1:37" ht="9.9499999999999993">
      <c r="A176" s="29">
        <v>46266</v>
      </c>
      <c r="B176" s="22">
        <v>3392937</v>
      </c>
      <c r="C176" s="17" t="s">
        <v>274</v>
      </c>
      <c r="D176" s="17" t="s">
        <v>38</v>
      </c>
      <c r="E176" s="17" t="s">
        <v>38</v>
      </c>
      <c r="F176" s="17"/>
      <c r="G176" s="17" t="str">
        <f>Table1[[#This Row],[DESCRIPCION_POSICION]]</f>
        <v>Operador Especializado de Plantas</v>
      </c>
      <c r="H176" s="22" t="s">
        <v>540</v>
      </c>
      <c r="I176" s="17" t="s">
        <v>40</v>
      </c>
      <c r="J176" s="17" t="s">
        <v>68</v>
      </c>
      <c r="K176" s="17" t="s">
        <v>86</v>
      </c>
      <c r="L176" s="36" t="s">
        <v>521</v>
      </c>
      <c r="M176" s="103"/>
      <c r="N176" s="37" t="s">
        <v>541</v>
      </c>
      <c r="O176" s="36" t="str">
        <f>VLOOKUP(L176,CECOs!A:B,2,0)</f>
        <v>Oper. LTS FP</v>
      </c>
      <c r="P176" s="17" t="str">
        <f>VLOOKUP(B:B,CECOs!G:I,3,FALSE)</f>
        <v>OperadorLTS</v>
      </c>
      <c r="Q176" s="17" t="str">
        <f>IF(_xlfn.XLOOKUP(L176,CECOs!A:A,CECOs!C:C,"")="",K176,_xlfn.XLOOKUP(L176,CECOs!A:A,CECOs!C:C,""))</f>
        <v>HUARTE, ESTEBAN</v>
      </c>
      <c r="R176" s="17" t="s">
        <v>38</v>
      </c>
      <c r="S176" s="17" t="s">
        <v>45</v>
      </c>
      <c r="T176" s="17" t="s">
        <v>61</v>
      </c>
      <c r="U176" s="17" t="s">
        <v>217</v>
      </c>
      <c r="V176" s="17" t="s">
        <v>95</v>
      </c>
      <c r="W176" s="17"/>
      <c r="X176" s="17"/>
      <c r="Y176" s="17"/>
      <c r="Z176" s="17"/>
      <c r="AA176" s="17"/>
      <c r="AB176" s="17" t="s">
        <v>49</v>
      </c>
      <c r="AC176" s="17"/>
      <c r="AD176" s="17" t="s">
        <v>50</v>
      </c>
      <c r="AE176" s="17"/>
      <c r="AF176" s="17"/>
      <c r="AG176" s="17"/>
      <c r="AH176" s="17"/>
      <c r="AI176" s="17"/>
      <c r="AJ176" s="17"/>
      <c r="AK176" s="29"/>
    </row>
    <row r="177" spans="1:37" ht="9.9499999999999993">
      <c r="A177" s="29">
        <v>46266</v>
      </c>
      <c r="B177" s="22">
        <v>3392938</v>
      </c>
      <c r="C177" s="17" t="s">
        <v>274</v>
      </c>
      <c r="D177" s="17" t="s">
        <v>38</v>
      </c>
      <c r="E177" s="17" t="s">
        <v>38</v>
      </c>
      <c r="F177" s="17"/>
      <c r="G177" s="17" t="str">
        <f>Table1[[#This Row],[DESCRIPCION_POSICION]]</f>
        <v>Operador Especializado de Plantas</v>
      </c>
      <c r="H177" s="17" t="s">
        <v>542</v>
      </c>
      <c r="I177" s="17" t="s">
        <v>40</v>
      </c>
      <c r="J177" s="17" t="s">
        <v>68</v>
      </c>
      <c r="K177" s="17" t="s">
        <v>86</v>
      </c>
      <c r="L177" s="36" t="s">
        <v>521</v>
      </c>
      <c r="M177" s="103"/>
      <c r="N177" s="38" t="s">
        <v>543</v>
      </c>
      <c r="O177" s="36" t="str">
        <f>VLOOKUP(L177,CECOs!A:B,2,0)</f>
        <v>Oper. LTS FP</v>
      </c>
      <c r="P177" s="17" t="str">
        <f>VLOOKUP(B:B,CECOs!G:I,3,FALSE)</f>
        <v>OperadorLTS</v>
      </c>
      <c r="Q177" s="17" t="str">
        <f>IF(_xlfn.XLOOKUP(L177,CECOs!A:A,CECOs!C:C,"")="",K177,_xlfn.XLOOKUP(L177,CECOs!A:A,CECOs!C:C,""))</f>
        <v>HUARTE, ESTEBAN</v>
      </c>
      <c r="R177" s="17" t="s">
        <v>38</v>
      </c>
      <c r="S177" s="17" t="s">
        <v>45</v>
      </c>
      <c r="T177" s="17" t="s">
        <v>61</v>
      </c>
      <c r="U177" s="17" t="s">
        <v>217</v>
      </c>
      <c r="V177" s="17" t="s">
        <v>95</v>
      </c>
      <c r="W177" s="17"/>
      <c r="X177" s="17"/>
      <c r="Y177" s="17"/>
      <c r="Z177" s="17"/>
      <c r="AA177" s="17"/>
      <c r="AB177" s="17" t="s">
        <v>49</v>
      </c>
      <c r="AC177" s="17"/>
      <c r="AD177" s="17" t="s">
        <v>50</v>
      </c>
      <c r="AE177" s="17"/>
      <c r="AF177" s="17"/>
      <c r="AG177" s="17"/>
      <c r="AH177" s="17"/>
      <c r="AI177" s="17"/>
      <c r="AJ177" s="17"/>
      <c r="AK177" s="29"/>
    </row>
    <row r="178" spans="1:37" ht="9.9499999999999993">
      <c r="A178" s="29">
        <v>46266</v>
      </c>
      <c r="B178" s="22">
        <v>3392939</v>
      </c>
      <c r="C178" s="17" t="s">
        <v>274</v>
      </c>
      <c r="D178" s="17" t="s">
        <v>38</v>
      </c>
      <c r="E178" s="17" t="s">
        <v>38</v>
      </c>
      <c r="F178" s="17"/>
      <c r="G178" s="17" t="str">
        <f>Table1[[#This Row],[DESCRIPCION_POSICION]]</f>
        <v>Operador Especializado de Plantas</v>
      </c>
      <c r="H178" s="22" t="s">
        <v>544</v>
      </c>
      <c r="I178" s="17" t="s">
        <v>40</v>
      </c>
      <c r="J178" s="17" t="s">
        <v>68</v>
      </c>
      <c r="K178" s="17" t="s">
        <v>86</v>
      </c>
      <c r="L178" s="36" t="s">
        <v>521</v>
      </c>
      <c r="M178" s="103"/>
      <c r="N178" s="37" t="s">
        <v>545</v>
      </c>
      <c r="O178" s="36" t="str">
        <f>VLOOKUP(L178,CECOs!A:B,2,0)</f>
        <v>Oper. LTS FP</v>
      </c>
      <c r="P178" s="17" t="str">
        <f>VLOOKUP(B:B,CECOs!G:I,3,FALSE)</f>
        <v>OperadorLTS</v>
      </c>
      <c r="Q178" s="17" t="str">
        <f>IF(_xlfn.XLOOKUP(L178,CECOs!A:A,CECOs!C:C,"")="",K178,_xlfn.XLOOKUP(L178,CECOs!A:A,CECOs!C:C,""))</f>
        <v>HUARTE, ESTEBAN</v>
      </c>
      <c r="R178" s="17" t="s">
        <v>38</v>
      </c>
      <c r="S178" s="17" t="s">
        <v>45</v>
      </c>
      <c r="T178" s="17" t="s">
        <v>61</v>
      </c>
      <c r="U178" s="17" t="s">
        <v>217</v>
      </c>
      <c r="V178" s="17" t="s">
        <v>95</v>
      </c>
      <c r="W178" s="17"/>
      <c r="X178" s="17"/>
      <c r="Y178" s="17"/>
      <c r="Z178" s="17"/>
      <c r="AA178" s="17"/>
      <c r="AB178" s="17" t="s">
        <v>49</v>
      </c>
      <c r="AC178" s="17"/>
      <c r="AD178" s="17" t="s">
        <v>50</v>
      </c>
      <c r="AE178" s="17"/>
      <c r="AF178" s="17"/>
      <c r="AG178" s="17"/>
      <c r="AH178" s="17"/>
      <c r="AI178" s="17"/>
      <c r="AJ178" s="17"/>
      <c r="AK178" s="29"/>
    </row>
    <row r="179" spans="1:37" ht="9.9499999999999993">
      <c r="A179" s="29">
        <v>46266</v>
      </c>
      <c r="B179" s="22">
        <v>3392940</v>
      </c>
      <c r="C179" s="17" t="s">
        <v>274</v>
      </c>
      <c r="D179" s="17" t="s">
        <v>38</v>
      </c>
      <c r="E179" s="17" t="s">
        <v>38</v>
      </c>
      <c r="F179" s="17"/>
      <c r="G179" s="17" t="str">
        <f>Table1[[#This Row],[DESCRIPCION_POSICION]]</f>
        <v>Operador Especializado de Plantas</v>
      </c>
      <c r="H179" s="22" t="s">
        <v>546</v>
      </c>
      <c r="I179" s="17" t="s">
        <v>40</v>
      </c>
      <c r="J179" s="17" t="s">
        <v>68</v>
      </c>
      <c r="K179" s="17" t="s">
        <v>86</v>
      </c>
      <c r="L179" s="36" t="s">
        <v>521</v>
      </c>
      <c r="M179" s="103"/>
      <c r="N179" s="37" t="s">
        <v>547</v>
      </c>
      <c r="O179" s="36" t="str">
        <f>VLOOKUP(L179,CECOs!A:B,2,0)</f>
        <v>Oper. LTS FP</v>
      </c>
      <c r="P179" s="17" t="str">
        <f>VLOOKUP(B:B,CECOs!G:I,3,FALSE)</f>
        <v>OperadorLTS</v>
      </c>
      <c r="Q179" s="17" t="str">
        <f>IF(_xlfn.XLOOKUP(L179,CECOs!A:A,CECOs!C:C,"")="",K179,_xlfn.XLOOKUP(L179,CECOs!A:A,CECOs!C:C,""))</f>
        <v>HUARTE, ESTEBAN</v>
      </c>
      <c r="R179" s="17" t="s">
        <v>38</v>
      </c>
      <c r="S179" s="17" t="s">
        <v>45</v>
      </c>
      <c r="T179" s="17" t="s">
        <v>61</v>
      </c>
      <c r="U179" s="17" t="s">
        <v>217</v>
      </c>
      <c r="V179" s="17" t="s">
        <v>95</v>
      </c>
      <c r="W179" s="17"/>
      <c r="X179" s="17"/>
      <c r="Y179" s="17"/>
      <c r="Z179" s="17"/>
      <c r="AA179" s="17"/>
      <c r="AB179" s="17" t="s">
        <v>49</v>
      </c>
      <c r="AC179" s="17"/>
      <c r="AD179" s="17" t="s">
        <v>50</v>
      </c>
      <c r="AE179" s="17"/>
      <c r="AF179" s="17"/>
      <c r="AG179" s="17"/>
      <c r="AH179" s="17"/>
      <c r="AI179" s="17"/>
      <c r="AJ179" s="17"/>
      <c r="AK179" s="29"/>
    </row>
    <row r="180" spans="1:37" ht="9.9499999999999993">
      <c r="A180" s="29">
        <v>46266</v>
      </c>
      <c r="B180" s="22">
        <v>3392928</v>
      </c>
      <c r="C180" s="17" t="s">
        <v>274</v>
      </c>
      <c r="D180" s="17" t="s">
        <v>38</v>
      </c>
      <c r="E180" s="17" t="s">
        <v>38</v>
      </c>
      <c r="F180" s="17"/>
      <c r="G180" s="17" t="str">
        <f>Table1[[#This Row],[DESCRIPCION_POSICION]]</f>
        <v>Operador Especializado de Plantas</v>
      </c>
      <c r="H180" s="17" t="s">
        <v>548</v>
      </c>
      <c r="I180" s="17" t="s">
        <v>40</v>
      </c>
      <c r="J180" s="17" t="s">
        <v>68</v>
      </c>
      <c r="K180" s="17" t="s">
        <v>86</v>
      </c>
      <c r="L180" s="36" t="s">
        <v>514</v>
      </c>
      <c r="M180" s="103"/>
      <c r="N180" s="38" t="s">
        <v>549</v>
      </c>
      <c r="O180" s="36" t="str">
        <f>VLOOKUP(L180,CECOs!A:B,2,0)</f>
        <v>Oper. EPF FP</v>
      </c>
      <c r="P180" s="17" t="str">
        <f>VLOOKUP(B:B,CECOs!G:I,3,FALSE)</f>
        <v>OperadordePlantadeAguaCPF</v>
      </c>
      <c r="Q180" s="17" t="str">
        <f>IF(_xlfn.XLOOKUP(L180,CECOs!A:A,CECOs!C:C,"")="",K180,_xlfn.XLOOKUP(L180,CECOs!A:A,CECOs!C:C,""))</f>
        <v>HUARTE, ESTEBAN</v>
      </c>
      <c r="R180" s="17" t="s">
        <v>38</v>
      </c>
      <c r="S180" s="17" t="s">
        <v>45</v>
      </c>
      <c r="T180" s="17" t="s">
        <v>61</v>
      </c>
      <c r="U180" s="17" t="s">
        <v>217</v>
      </c>
      <c r="V180" s="17" t="s">
        <v>95</v>
      </c>
      <c r="W180" s="17"/>
      <c r="X180" s="17"/>
      <c r="Y180" s="17"/>
      <c r="Z180" s="17"/>
      <c r="AA180" s="17"/>
      <c r="AB180" s="17" t="s">
        <v>49</v>
      </c>
      <c r="AC180" s="17"/>
      <c r="AD180" s="17" t="s">
        <v>50</v>
      </c>
      <c r="AE180" s="17"/>
      <c r="AF180" s="17"/>
      <c r="AG180" s="17"/>
      <c r="AH180" s="17"/>
      <c r="AI180" s="17"/>
      <c r="AJ180" s="17"/>
      <c r="AK180" s="29"/>
    </row>
    <row r="181" spans="1:37" ht="9.9499999999999993">
      <c r="A181" s="29">
        <v>46266</v>
      </c>
      <c r="B181" s="22">
        <v>3392942</v>
      </c>
      <c r="C181" s="17" t="s">
        <v>274</v>
      </c>
      <c r="D181" s="17" t="s">
        <v>38</v>
      </c>
      <c r="E181" s="17" t="s">
        <v>38</v>
      </c>
      <c r="F181" s="17"/>
      <c r="G181" s="17" t="str">
        <f>Table1[[#This Row],[DESCRIPCION_POSICION]]</f>
        <v>Operador Especializado de Plantas</v>
      </c>
      <c r="H181" s="50" t="s">
        <v>550</v>
      </c>
      <c r="I181" s="17" t="s">
        <v>40</v>
      </c>
      <c r="J181" s="17" t="s">
        <v>68</v>
      </c>
      <c r="K181" s="17" t="s">
        <v>86</v>
      </c>
      <c r="L181" s="36" t="s">
        <v>521</v>
      </c>
      <c r="M181" s="107"/>
      <c r="N181" s="43" t="s">
        <v>551</v>
      </c>
      <c r="O181" s="36" t="str">
        <f>VLOOKUP(L181,CECOs!A:B,2,0)</f>
        <v>Oper. LTS FP</v>
      </c>
      <c r="P181" s="17" t="str">
        <f>VLOOKUP(B:B,CECOs!G:I,3,FALSE)</f>
        <v>OperadorLTS</v>
      </c>
      <c r="Q181" s="17" t="str">
        <f>IF(_xlfn.XLOOKUP(L181,CECOs!A:A,CECOs!C:C,"")="",K181,_xlfn.XLOOKUP(L181,CECOs!A:A,CECOs!C:C,""))</f>
        <v>HUARTE, ESTEBAN</v>
      </c>
      <c r="R181" s="17" t="s">
        <v>38</v>
      </c>
      <c r="S181" s="17" t="s">
        <v>45</v>
      </c>
      <c r="T181" s="17" t="s">
        <v>61</v>
      </c>
      <c r="U181" s="17" t="s">
        <v>217</v>
      </c>
      <c r="V181" s="17" t="s">
        <v>95</v>
      </c>
      <c r="W181" s="17"/>
      <c r="X181" s="17"/>
      <c r="Y181" s="17"/>
      <c r="Z181" s="17"/>
      <c r="AA181" s="17"/>
      <c r="AB181" s="17" t="s">
        <v>49</v>
      </c>
      <c r="AC181" s="17"/>
      <c r="AD181" s="17" t="s">
        <v>50</v>
      </c>
      <c r="AE181" s="17"/>
      <c r="AF181" s="17"/>
      <c r="AG181" s="17"/>
      <c r="AH181" s="17"/>
      <c r="AI181" s="17"/>
      <c r="AJ181" s="17"/>
      <c r="AK181" s="29"/>
    </row>
    <row r="182" spans="1:37" ht="9.9499999999999993">
      <c r="A182" s="29">
        <v>46266</v>
      </c>
      <c r="B182" s="22">
        <v>3392943</v>
      </c>
      <c r="C182" s="17" t="s">
        <v>274</v>
      </c>
      <c r="D182" s="17" t="s">
        <v>38</v>
      </c>
      <c r="E182" s="17" t="s">
        <v>38</v>
      </c>
      <c r="F182" s="17"/>
      <c r="G182" s="17" t="str">
        <f>Table1[[#This Row],[DESCRIPCION_POSICION]]</f>
        <v>Operador Especializado de Plantas</v>
      </c>
      <c r="H182" s="17" t="s">
        <v>552</v>
      </c>
      <c r="I182" s="17" t="s">
        <v>40</v>
      </c>
      <c r="J182" s="17" t="s">
        <v>68</v>
      </c>
      <c r="K182" s="17" t="s">
        <v>86</v>
      </c>
      <c r="L182" s="36" t="s">
        <v>521</v>
      </c>
      <c r="M182" s="103"/>
      <c r="N182" s="38" t="s">
        <v>553</v>
      </c>
      <c r="O182" s="36" t="str">
        <f>VLOOKUP(L182,CECOs!A:B,2,0)</f>
        <v>Oper. LTS FP</v>
      </c>
      <c r="P182" s="17" t="str">
        <f>VLOOKUP(B:B,CECOs!G:I,3,FALSE)</f>
        <v>OperadorLTS</v>
      </c>
      <c r="Q182" s="17" t="str">
        <f>IF(_xlfn.XLOOKUP(L182,CECOs!A:A,CECOs!C:C,"")="",K182,_xlfn.XLOOKUP(L182,CECOs!A:A,CECOs!C:C,""))</f>
        <v>HUARTE, ESTEBAN</v>
      </c>
      <c r="R182" s="17" t="s">
        <v>38</v>
      </c>
      <c r="S182" s="17" t="s">
        <v>45</v>
      </c>
      <c r="T182" s="17" t="s">
        <v>61</v>
      </c>
      <c r="U182" s="17" t="s">
        <v>217</v>
      </c>
      <c r="V182" s="17" t="s">
        <v>95</v>
      </c>
      <c r="W182" s="17"/>
      <c r="X182" s="17"/>
      <c r="Y182" s="17"/>
      <c r="Z182" s="17"/>
      <c r="AA182" s="17"/>
      <c r="AB182" s="17" t="s">
        <v>49</v>
      </c>
      <c r="AC182" s="17"/>
      <c r="AD182" s="17" t="s">
        <v>50</v>
      </c>
      <c r="AE182" s="17"/>
      <c r="AF182" s="17"/>
      <c r="AG182" s="17"/>
      <c r="AH182" s="17"/>
      <c r="AI182" s="17"/>
      <c r="AJ182" s="17"/>
      <c r="AK182" s="29"/>
    </row>
    <row r="183" spans="1:37" ht="9.9499999999999993">
      <c r="A183" s="29">
        <v>46266</v>
      </c>
      <c r="B183" s="22">
        <v>3392944</v>
      </c>
      <c r="C183" s="17" t="s">
        <v>274</v>
      </c>
      <c r="D183" s="17" t="s">
        <v>38</v>
      </c>
      <c r="E183" s="17" t="s">
        <v>38</v>
      </c>
      <c r="F183" s="17"/>
      <c r="G183" s="17" t="str">
        <f>Table1[[#This Row],[DESCRIPCION_POSICION]]</f>
        <v>Operador Especializado de Plantas</v>
      </c>
      <c r="H183" s="17" t="s">
        <v>554</v>
      </c>
      <c r="I183" s="17" t="s">
        <v>40</v>
      </c>
      <c r="J183" s="17" t="s">
        <v>68</v>
      </c>
      <c r="K183" s="17" t="s">
        <v>86</v>
      </c>
      <c r="L183" s="36" t="s">
        <v>521</v>
      </c>
      <c r="M183" s="103"/>
      <c r="N183" s="38" t="s">
        <v>555</v>
      </c>
      <c r="O183" s="36" t="str">
        <f>VLOOKUP(L183,CECOs!A:B,2,0)</f>
        <v>Oper. LTS FP</v>
      </c>
      <c r="P183" s="17" t="str">
        <f>VLOOKUP(B:B,CECOs!G:I,3,FALSE)</f>
        <v>OperadordePlantadeAguaCPF</v>
      </c>
      <c r="Q183" s="17" t="str">
        <f>IF(_xlfn.XLOOKUP(L183,CECOs!A:A,CECOs!C:C,"")="",K183,_xlfn.XLOOKUP(L183,CECOs!A:A,CECOs!C:C,""))</f>
        <v>HUARTE, ESTEBAN</v>
      </c>
      <c r="R183" s="17" t="s">
        <v>38</v>
      </c>
      <c r="S183" s="17" t="s">
        <v>45</v>
      </c>
      <c r="T183" s="17" t="s">
        <v>61</v>
      </c>
      <c r="U183" s="17" t="s">
        <v>217</v>
      </c>
      <c r="V183" s="17" t="s">
        <v>95</v>
      </c>
      <c r="W183" s="17"/>
      <c r="X183" s="17"/>
      <c r="Y183" s="17"/>
      <c r="Z183" s="17"/>
      <c r="AA183" s="17"/>
      <c r="AB183" s="17" t="s">
        <v>49</v>
      </c>
      <c r="AC183" s="17"/>
      <c r="AD183" s="17" t="s">
        <v>50</v>
      </c>
      <c r="AE183" s="17"/>
      <c r="AF183" s="17"/>
      <c r="AG183" s="17"/>
      <c r="AH183" s="17"/>
      <c r="AI183" s="17"/>
      <c r="AJ183" s="17"/>
      <c r="AK183" s="29"/>
    </row>
    <row r="184" spans="1:37" ht="9.9499999999999993">
      <c r="A184" s="29">
        <v>46266</v>
      </c>
      <c r="B184" s="22">
        <v>3392945</v>
      </c>
      <c r="C184" s="17" t="s">
        <v>274</v>
      </c>
      <c r="D184" s="17" t="s">
        <v>38</v>
      </c>
      <c r="E184" s="17" t="s">
        <v>38</v>
      </c>
      <c r="F184" s="17"/>
      <c r="G184" s="17" t="str">
        <f>Table1[[#This Row],[DESCRIPCION_POSICION]]</f>
        <v>Operador Especializado de Plantas</v>
      </c>
      <c r="H184" s="17" t="s">
        <v>556</v>
      </c>
      <c r="I184" s="17" t="s">
        <v>40</v>
      </c>
      <c r="J184" s="17" t="s">
        <v>68</v>
      </c>
      <c r="K184" s="17" t="s">
        <v>86</v>
      </c>
      <c r="L184" s="36" t="s">
        <v>536</v>
      </c>
      <c r="M184" s="103"/>
      <c r="N184" s="38" t="s">
        <v>557</v>
      </c>
      <c r="O184" s="36" t="str">
        <f>VLOOKUP(L184,CECOs!A:B,2,0)</f>
        <v>Oper. PTA FP</v>
      </c>
      <c r="P184" s="17" t="str">
        <f>VLOOKUP(B:B,CECOs!G:I,3,FALSE)</f>
        <v>OperadordeplantaEPF</v>
      </c>
      <c r="Q184" s="17" t="str">
        <f>IF(_xlfn.XLOOKUP(L184,CECOs!A:A,CECOs!C:C,"")="",K184,_xlfn.XLOOKUP(L184,CECOs!A:A,CECOs!C:C,""))</f>
        <v>HUARTE, ESTEBAN</v>
      </c>
      <c r="R184" s="17" t="s">
        <v>38</v>
      </c>
      <c r="S184" s="17" t="s">
        <v>45</v>
      </c>
      <c r="T184" s="17" t="s">
        <v>61</v>
      </c>
      <c r="U184" s="17" t="s">
        <v>217</v>
      </c>
      <c r="V184" s="17" t="s">
        <v>95</v>
      </c>
      <c r="W184" s="17"/>
      <c r="X184" s="17"/>
      <c r="Y184" s="17"/>
      <c r="Z184" s="17"/>
      <c r="AA184" s="17"/>
      <c r="AB184" s="17" t="s">
        <v>49</v>
      </c>
      <c r="AC184" s="17"/>
      <c r="AD184" s="17" t="s">
        <v>50</v>
      </c>
      <c r="AE184" s="17"/>
      <c r="AF184" s="17"/>
      <c r="AG184" s="17"/>
      <c r="AH184" s="17"/>
      <c r="AI184" s="17"/>
      <c r="AJ184" s="17"/>
      <c r="AK184" s="29"/>
    </row>
    <row r="185" spans="1:37" ht="9.9499999999999993">
      <c r="A185" s="29">
        <v>46266</v>
      </c>
      <c r="B185" s="22">
        <v>3392946</v>
      </c>
      <c r="C185" s="17" t="s">
        <v>274</v>
      </c>
      <c r="D185" s="17" t="s">
        <v>38</v>
      </c>
      <c r="E185" s="17" t="s">
        <v>38</v>
      </c>
      <c r="F185" s="17"/>
      <c r="G185" s="17" t="str">
        <f>Table1[[#This Row],[DESCRIPCION_POSICION]]</f>
        <v>Operador Especializado de Plantas</v>
      </c>
      <c r="H185" s="17" t="s">
        <v>558</v>
      </c>
      <c r="I185" s="17" t="s">
        <v>40</v>
      </c>
      <c r="J185" s="17" t="s">
        <v>68</v>
      </c>
      <c r="K185" s="17" t="s">
        <v>86</v>
      </c>
      <c r="L185" s="36" t="s">
        <v>536</v>
      </c>
      <c r="M185" s="103"/>
      <c r="N185" s="38" t="s">
        <v>559</v>
      </c>
      <c r="O185" s="36" t="str">
        <f>VLOOKUP(L185,CECOs!A:B,2,0)</f>
        <v>Oper. PTA FP</v>
      </c>
      <c r="P185" s="17" t="str">
        <f>VLOOKUP(B:B,CECOs!G:I,3,FALSE)</f>
        <v>OperadordePlantadeAguaCPF</v>
      </c>
      <c r="Q185" s="17" t="str">
        <f>IF(_xlfn.XLOOKUP(L185,CECOs!A:A,CECOs!C:C,"")="",K185,_xlfn.XLOOKUP(L185,CECOs!A:A,CECOs!C:C,""))</f>
        <v>HUARTE, ESTEBAN</v>
      </c>
      <c r="R185" s="17" t="s">
        <v>38</v>
      </c>
      <c r="S185" s="17" t="s">
        <v>45</v>
      </c>
      <c r="T185" s="17" t="s">
        <v>61</v>
      </c>
      <c r="U185" s="17" t="s">
        <v>217</v>
      </c>
      <c r="V185" s="17" t="s">
        <v>95</v>
      </c>
      <c r="W185" s="17"/>
      <c r="X185" s="17"/>
      <c r="Y185" s="17"/>
      <c r="Z185" s="17"/>
      <c r="AA185" s="17"/>
      <c r="AB185" s="17" t="s">
        <v>49</v>
      </c>
      <c r="AC185" s="17"/>
      <c r="AD185" s="17" t="s">
        <v>50</v>
      </c>
      <c r="AE185" s="17"/>
      <c r="AF185" s="17"/>
      <c r="AG185" s="17"/>
      <c r="AH185" s="17"/>
      <c r="AI185" s="17"/>
      <c r="AJ185" s="17"/>
      <c r="AK185" s="29"/>
    </row>
    <row r="186" spans="1:37" ht="9.9499999999999993">
      <c r="A186" s="29">
        <v>46266</v>
      </c>
      <c r="B186" s="22">
        <v>3392947</v>
      </c>
      <c r="C186" s="17" t="s">
        <v>274</v>
      </c>
      <c r="D186" s="17" t="s">
        <v>38</v>
      </c>
      <c r="E186" s="17" t="s">
        <v>38</v>
      </c>
      <c r="F186" s="17"/>
      <c r="G186" s="17" t="str">
        <f>Table1[[#This Row],[DESCRIPCION_POSICION]]</f>
        <v>Operador Especializado de Plantas</v>
      </c>
      <c r="H186" s="40" t="s">
        <v>560</v>
      </c>
      <c r="I186" s="17" t="s">
        <v>40</v>
      </c>
      <c r="J186" s="17" t="s">
        <v>68</v>
      </c>
      <c r="K186" s="17" t="s">
        <v>86</v>
      </c>
      <c r="L186" s="36" t="s">
        <v>536</v>
      </c>
      <c r="M186" s="103"/>
      <c r="N186" s="39" t="s">
        <v>561</v>
      </c>
      <c r="O186" s="36" t="str">
        <f>VLOOKUP(L186,CECOs!A:B,2,0)</f>
        <v>Oper. PTA FP</v>
      </c>
      <c r="P186" s="17" t="str">
        <f>VLOOKUP(B:B,CECOs!G:I,3,FALSE)</f>
        <v>OperadordePlantadeAguaCPF</v>
      </c>
      <c r="Q186" s="17" t="str">
        <f>IF(_xlfn.XLOOKUP(L186,CECOs!A:A,CECOs!C:C,"")="",K186,_xlfn.XLOOKUP(L186,CECOs!A:A,CECOs!C:C,""))</f>
        <v>HUARTE, ESTEBAN</v>
      </c>
      <c r="R186" s="17" t="s">
        <v>38</v>
      </c>
      <c r="S186" s="17" t="s">
        <v>45</v>
      </c>
      <c r="T186" s="17" t="s">
        <v>61</v>
      </c>
      <c r="U186" s="17" t="s">
        <v>217</v>
      </c>
      <c r="V186" s="17" t="s">
        <v>95</v>
      </c>
      <c r="W186" s="17"/>
      <c r="X186" s="17"/>
      <c r="Y186" s="17"/>
      <c r="Z186" s="17"/>
      <c r="AA186" s="17"/>
      <c r="AB186" s="17" t="s">
        <v>49</v>
      </c>
      <c r="AC186" s="17"/>
      <c r="AD186" s="17" t="s">
        <v>50</v>
      </c>
      <c r="AE186" s="17"/>
      <c r="AF186" s="17"/>
      <c r="AG186" s="17"/>
      <c r="AH186" s="17"/>
      <c r="AI186" s="17"/>
      <c r="AJ186" s="17"/>
      <c r="AK186" s="29"/>
    </row>
    <row r="187" spans="1:37" ht="9.9499999999999993">
      <c r="A187" s="29">
        <v>46266</v>
      </c>
      <c r="B187" s="22">
        <v>3392948</v>
      </c>
      <c r="C187" s="17" t="s">
        <v>562</v>
      </c>
      <c r="D187" s="17" t="s">
        <v>38</v>
      </c>
      <c r="E187" s="17" t="s">
        <v>38</v>
      </c>
      <c r="F187" s="17"/>
      <c r="G187" s="17" t="str">
        <f>Table1[[#This Row],[DESCRIPCION_POSICION]]</f>
        <v>Operador de Plantas</v>
      </c>
      <c r="H187" s="17" t="s">
        <v>563</v>
      </c>
      <c r="I187" s="17" t="s">
        <v>40</v>
      </c>
      <c r="J187" s="17" t="s">
        <v>68</v>
      </c>
      <c r="K187" s="17" t="s">
        <v>86</v>
      </c>
      <c r="L187" s="36" t="s">
        <v>536</v>
      </c>
      <c r="M187" s="103"/>
      <c r="N187" s="38" t="s">
        <v>564</v>
      </c>
      <c r="O187" s="36" t="str">
        <f>VLOOKUP(L187,CECOs!A:B,2,0)</f>
        <v>Oper. PTA FP</v>
      </c>
      <c r="P187" s="17" t="str">
        <f>VLOOKUP(B:B,CECOs!G:I,3,FALSE)</f>
        <v>OperadordePlantadeAguaCPF</v>
      </c>
      <c r="Q187" s="17" t="str">
        <f>IF(_xlfn.XLOOKUP(L187,CECOs!A:A,CECOs!C:C,"")="",K187,_xlfn.XLOOKUP(L187,CECOs!A:A,CECOs!C:C,""))</f>
        <v>HUARTE, ESTEBAN</v>
      </c>
      <c r="R187" s="17" t="s">
        <v>38</v>
      </c>
      <c r="S187" s="17" t="s">
        <v>45</v>
      </c>
      <c r="T187" s="17" t="s">
        <v>61</v>
      </c>
      <c r="U187" s="17" t="s">
        <v>217</v>
      </c>
      <c r="V187" s="17" t="s">
        <v>95</v>
      </c>
      <c r="W187" s="17"/>
      <c r="X187" s="17"/>
      <c r="Y187" s="17"/>
      <c r="Z187" s="17"/>
      <c r="AA187" s="17"/>
      <c r="AB187" s="17" t="s">
        <v>49</v>
      </c>
      <c r="AC187" s="17"/>
      <c r="AD187" s="17" t="s">
        <v>50</v>
      </c>
      <c r="AE187" s="17"/>
      <c r="AF187" s="17"/>
      <c r="AG187" s="17"/>
      <c r="AH187" s="17"/>
      <c r="AI187" s="17"/>
      <c r="AJ187" s="17"/>
      <c r="AK187" s="29"/>
    </row>
    <row r="188" spans="1:37" ht="9.9499999999999993">
      <c r="A188" s="29">
        <v>46266</v>
      </c>
      <c r="B188" s="22">
        <v>3392950</v>
      </c>
      <c r="C188" s="17" t="s">
        <v>274</v>
      </c>
      <c r="D188" s="17" t="s">
        <v>38</v>
      </c>
      <c r="E188" s="17" t="s">
        <v>38</v>
      </c>
      <c r="F188" s="17"/>
      <c r="G188" s="17" t="str">
        <f>Table1[[#This Row],[DESCRIPCION_POSICION]]</f>
        <v>Operador Especializado de Plantas</v>
      </c>
      <c r="H188" s="53" t="s">
        <v>565</v>
      </c>
      <c r="I188" s="17" t="s">
        <v>40</v>
      </c>
      <c r="J188" s="17" t="s">
        <v>68</v>
      </c>
      <c r="K188" s="17" t="s">
        <v>86</v>
      </c>
      <c r="L188" s="36" t="s">
        <v>536</v>
      </c>
      <c r="M188" s="103"/>
      <c r="N188" s="26" t="s">
        <v>566</v>
      </c>
      <c r="O188" s="36" t="str">
        <f>VLOOKUP(L188,CECOs!A:B,2,0)</f>
        <v>Oper. PTA FP</v>
      </c>
      <c r="P188" s="17" t="str">
        <f>VLOOKUP(B:B,CECOs!G:I,3,FALSE)</f>
        <v>OperadordePlantadeAguaCPF</v>
      </c>
      <c r="Q188" s="17" t="str">
        <f>IF(_xlfn.XLOOKUP(L188,CECOs!A:A,CECOs!C:C,"")="",K188,_xlfn.XLOOKUP(L188,CECOs!A:A,CECOs!C:C,""))</f>
        <v>HUARTE, ESTEBAN</v>
      </c>
      <c r="R188" s="17" t="s">
        <v>38</v>
      </c>
      <c r="S188" s="17" t="s">
        <v>45</v>
      </c>
      <c r="T188" s="17" t="s">
        <v>61</v>
      </c>
      <c r="U188" s="17" t="s">
        <v>217</v>
      </c>
      <c r="V188" s="17" t="s">
        <v>95</v>
      </c>
      <c r="W188" s="17"/>
      <c r="X188" s="17"/>
      <c r="Y188" s="17"/>
      <c r="Z188" s="17"/>
      <c r="AA188" s="17"/>
      <c r="AB188" s="17" t="s">
        <v>49</v>
      </c>
      <c r="AC188" s="17"/>
      <c r="AD188" s="17" t="s">
        <v>50</v>
      </c>
      <c r="AE188" s="17"/>
      <c r="AF188" s="17"/>
      <c r="AG188" s="17"/>
      <c r="AH188" s="17"/>
      <c r="AI188" s="17"/>
      <c r="AJ188" s="17"/>
      <c r="AK188" s="29"/>
    </row>
    <row r="189" spans="1:37" ht="9.9499999999999993">
      <c r="A189" s="29">
        <v>46266</v>
      </c>
      <c r="B189" s="22">
        <v>3392951</v>
      </c>
      <c r="C189" s="17" t="s">
        <v>274</v>
      </c>
      <c r="D189" s="17" t="s">
        <v>38</v>
      </c>
      <c r="E189" s="17" t="s">
        <v>38</v>
      </c>
      <c r="F189" s="17"/>
      <c r="G189" s="17" t="str">
        <f>Table1[[#This Row],[DESCRIPCION_POSICION]]</f>
        <v>Operador Especializado de Plantas</v>
      </c>
      <c r="H189" s="17" t="s">
        <v>567</v>
      </c>
      <c r="I189" s="17" t="s">
        <v>40</v>
      </c>
      <c r="J189" s="17" t="s">
        <v>68</v>
      </c>
      <c r="K189" s="17" t="s">
        <v>86</v>
      </c>
      <c r="L189" s="36" t="s">
        <v>536</v>
      </c>
      <c r="M189" s="103"/>
      <c r="N189" s="38" t="s">
        <v>568</v>
      </c>
      <c r="O189" s="36" t="str">
        <f>VLOOKUP(L189,CECOs!A:B,2,0)</f>
        <v>Oper. PTA FP</v>
      </c>
      <c r="P189" s="17" t="str">
        <f>VLOOKUP(B:B,CECOs!G:I,3,FALSE)</f>
        <v>OperadorLTS</v>
      </c>
      <c r="Q189" s="17" t="str">
        <f>IF(_xlfn.XLOOKUP(L189,CECOs!A:A,CECOs!C:C,"")="",K189,_xlfn.XLOOKUP(L189,CECOs!A:A,CECOs!C:C,""))</f>
        <v>HUARTE, ESTEBAN</v>
      </c>
      <c r="R189" s="17" t="s">
        <v>38</v>
      </c>
      <c r="S189" s="17" t="s">
        <v>45</v>
      </c>
      <c r="T189" s="17" t="s">
        <v>61</v>
      </c>
      <c r="U189" s="17" t="s">
        <v>217</v>
      </c>
      <c r="V189" s="17" t="s">
        <v>95</v>
      </c>
      <c r="W189" s="17"/>
      <c r="X189" s="17"/>
      <c r="Y189" s="17"/>
      <c r="Z189" s="17"/>
      <c r="AA189" s="17"/>
      <c r="AB189" s="17" t="s">
        <v>49</v>
      </c>
      <c r="AC189" s="17"/>
      <c r="AD189" s="17" t="s">
        <v>50</v>
      </c>
      <c r="AE189" s="17"/>
      <c r="AF189" s="17"/>
      <c r="AG189" s="17"/>
      <c r="AH189" s="17"/>
      <c r="AI189" s="17"/>
      <c r="AJ189" s="17"/>
      <c r="AK189" s="29"/>
    </row>
    <row r="190" spans="1:37" ht="9.9499999999999993">
      <c r="A190" s="29">
        <v>46266</v>
      </c>
      <c r="B190" s="22">
        <v>3392952</v>
      </c>
      <c r="C190" s="17" t="s">
        <v>339</v>
      </c>
      <c r="D190" s="17" t="s">
        <v>38</v>
      </c>
      <c r="E190" s="17" t="s">
        <v>38</v>
      </c>
      <c r="F190" s="17"/>
      <c r="G190" s="17" t="str">
        <f>Table1[[#This Row],[DESCRIPCION_POSICION]]</f>
        <v>Ingresante de Plantas</v>
      </c>
      <c r="H190" s="17" t="s">
        <v>569</v>
      </c>
      <c r="I190" s="17" t="s">
        <v>40</v>
      </c>
      <c r="J190" s="17" t="s">
        <v>68</v>
      </c>
      <c r="K190" s="17" t="s">
        <v>86</v>
      </c>
      <c r="L190" s="36" t="s">
        <v>536</v>
      </c>
      <c r="M190" s="103"/>
      <c r="N190" s="38" t="s">
        <v>570</v>
      </c>
      <c r="O190" s="36" t="str">
        <f>VLOOKUP(L190,CECOs!A:B,2,0)</f>
        <v>Oper. PTA FP</v>
      </c>
      <c r="P190" s="17" t="str">
        <f>VLOOKUP(B:B,CECOs!G:I,3,FALSE)</f>
        <v>OperadordePlantadeAguaCPF</v>
      </c>
      <c r="Q190" s="17" t="str">
        <f>IF(_xlfn.XLOOKUP(L190,CECOs!A:A,CECOs!C:C,"")="",K190,_xlfn.XLOOKUP(L190,CECOs!A:A,CECOs!C:C,""))</f>
        <v>HUARTE, ESTEBAN</v>
      </c>
      <c r="R190" s="17" t="s">
        <v>38</v>
      </c>
      <c r="S190" s="17" t="s">
        <v>45</v>
      </c>
      <c r="T190" s="17" t="s">
        <v>61</v>
      </c>
      <c r="U190" s="17" t="s">
        <v>217</v>
      </c>
      <c r="V190" s="17" t="s">
        <v>95</v>
      </c>
      <c r="W190" s="17"/>
      <c r="X190" s="17"/>
      <c r="Y190" s="17"/>
      <c r="Z190" s="17"/>
      <c r="AA190" s="17"/>
      <c r="AB190" s="17" t="s">
        <v>49</v>
      </c>
      <c r="AC190" s="17"/>
      <c r="AD190" s="17" t="s">
        <v>50</v>
      </c>
      <c r="AE190" s="17"/>
      <c r="AF190" s="17"/>
      <c r="AG190" s="17"/>
      <c r="AH190" s="17"/>
      <c r="AI190" s="17"/>
      <c r="AJ190" s="17"/>
      <c r="AK190" s="29"/>
    </row>
    <row r="191" spans="1:37" ht="9.9499999999999993">
      <c r="A191" s="29">
        <v>46266</v>
      </c>
      <c r="B191" s="22">
        <v>3392953</v>
      </c>
      <c r="C191" s="17" t="s">
        <v>562</v>
      </c>
      <c r="D191" s="17" t="s">
        <v>38</v>
      </c>
      <c r="E191" s="17" t="s">
        <v>38</v>
      </c>
      <c r="F191" s="17"/>
      <c r="G191" s="17" t="str">
        <f>Table1[[#This Row],[DESCRIPCION_POSICION]]</f>
        <v>Operador de Plantas</v>
      </c>
      <c r="H191" s="17" t="s">
        <v>571</v>
      </c>
      <c r="I191" s="17" t="s">
        <v>40</v>
      </c>
      <c r="J191" s="17" t="s">
        <v>68</v>
      </c>
      <c r="K191" s="17" t="s">
        <v>86</v>
      </c>
      <c r="L191" s="36" t="s">
        <v>536</v>
      </c>
      <c r="M191" s="103"/>
      <c r="N191" s="38" t="s">
        <v>572</v>
      </c>
      <c r="O191" s="36" t="str">
        <f>VLOOKUP(L191,CECOs!A:B,2,0)</f>
        <v>Oper. PTA FP</v>
      </c>
      <c r="P191" s="17" t="str">
        <f>VLOOKUP(B:B,CECOs!G:I,3,FALSE)</f>
        <v>OperadordePlantadeAguaCPF</v>
      </c>
      <c r="Q191" s="17" t="str">
        <f>IF(_xlfn.XLOOKUP(L191,CECOs!A:A,CECOs!C:C,"")="",K191,_xlfn.XLOOKUP(L191,CECOs!A:A,CECOs!C:C,""))</f>
        <v>HUARTE, ESTEBAN</v>
      </c>
      <c r="R191" s="17" t="s">
        <v>38</v>
      </c>
      <c r="S191" s="17" t="s">
        <v>45</v>
      </c>
      <c r="T191" s="17" t="s">
        <v>61</v>
      </c>
      <c r="U191" s="17" t="s">
        <v>217</v>
      </c>
      <c r="V191" s="17" t="s">
        <v>95</v>
      </c>
      <c r="W191" s="17"/>
      <c r="X191" s="17"/>
      <c r="Y191" s="17"/>
      <c r="Z191" s="17"/>
      <c r="AA191" s="17"/>
      <c r="AB191" s="17" t="s">
        <v>49</v>
      </c>
      <c r="AC191" s="17"/>
      <c r="AD191" s="17" t="s">
        <v>50</v>
      </c>
      <c r="AE191" s="17"/>
      <c r="AF191" s="17"/>
      <c r="AG191" s="17"/>
      <c r="AH191" s="17"/>
      <c r="AI191" s="17"/>
      <c r="AJ191" s="17"/>
      <c r="AK191" s="29"/>
    </row>
    <row r="192" spans="1:37" ht="9.9499999999999993">
      <c r="A192" s="29">
        <v>46266</v>
      </c>
      <c r="B192" s="22">
        <v>3392955</v>
      </c>
      <c r="C192" s="17" t="s">
        <v>562</v>
      </c>
      <c r="D192" s="17" t="s">
        <v>38</v>
      </c>
      <c r="E192" s="17" t="s">
        <v>38</v>
      </c>
      <c r="F192" s="17"/>
      <c r="G192" s="17" t="str">
        <f>Table1[[#This Row],[DESCRIPCION_POSICION]]</f>
        <v>Operador de Plantas</v>
      </c>
      <c r="H192" s="17" t="s">
        <v>573</v>
      </c>
      <c r="I192" s="17" t="s">
        <v>40</v>
      </c>
      <c r="J192" s="17" t="s">
        <v>68</v>
      </c>
      <c r="K192" s="17" t="s">
        <v>86</v>
      </c>
      <c r="L192" s="36" t="s">
        <v>536</v>
      </c>
      <c r="M192" s="103"/>
      <c r="N192" s="38" t="s">
        <v>574</v>
      </c>
      <c r="O192" s="36" t="str">
        <f>VLOOKUP(L192,CECOs!A:B,2,0)</f>
        <v>Oper. PTA FP</v>
      </c>
      <c r="P192" s="17" t="str">
        <f>VLOOKUP(B:B,CECOs!G:I,3,FALSE)</f>
        <v>OperadordePlantadeAguaCPF</v>
      </c>
      <c r="Q192" s="17" t="str">
        <f>IF(_xlfn.XLOOKUP(L192,CECOs!A:A,CECOs!C:C,"")="",K192,_xlfn.XLOOKUP(L192,CECOs!A:A,CECOs!C:C,""))</f>
        <v>HUARTE, ESTEBAN</v>
      </c>
      <c r="R192" s="17" t="s">
        <v>38</v>
      </c>
      <c r="S192" s="17" t="s">
        <v>45</v>
      </c>
      <c r="T192" s="17" t="s">
        <v>61</v>
      </c>
      <c r="U192" s="17" t="s">
        <v>217</v>
      </c>
      <c r="V192" s="17" t="s">
        <v>95</v>
      </c>
      <c r="W192" s="17"/>
      <c r="X192" s="17"/>
      <c r="Y192" s="17"/>
      <c r="Z192" s="17"/>
      <c r="AA192" s="17"/>
      <c r="AB192" s="17" t="s">
        <v>49</v>
      </c>
      <c r="AC192" s="17"/>
      <c r="AD192" s="17" t="s">
        <v>50</v>
      </c>
      <c r="AE192" s="17"/>
      <c r="AF192" s="17"/>
      <c r="AG192" s="17"/>
      <c r="AH192" s="17"/>
      <c r="AI192" s="17"/>
      <c r="AJ192" s="17"/>
      <c r="AK192" s="29"/>
    </row>
    <row r="193" spans="1:37" ht="9.9499999999999993">
      <c r="A193" s="29">
        <v>46266</v>
      </c>
      <c r="B193" s="22">
        <v>3392956</v>
      </c>
      <c r="C193" s="17" t="s">
        <v>562</v>
      </c>
      <c r="D193" s="17" t="s">
        <v>38</v>
      </c>
      <c r="E193" s="17" t="s">
        <v>38</v>
      </c>
      <c r="F193" s="17"/>
      <c r="G193" s="17" t="str">
        <f>Table1[[#This Row],[DESCRIPCION_POSICION]]</f>
        <v>Operador de Plantas</v>
      </c>
      <c r="H193" s="17" t="s">
        <v>575</v>
      </c>
      <c r="I193" s="17" t="s">
        <v>40</v>
      </c>
      <c r="J193" s="17" t="s">
        <v>68</v>
      </c>
      <c r="K193" s="17" t="s">
        <v>86</v>
      </c>
      <c r="L193" s="36" t="s">
        <v>536</v>
      </c>
      <c r="M193" s="103"/>
      <c r="N193" s="38" t="s">
        <v>576</v>
      </c>
      <c r="O193" s="36" t="str">
        <f>VLOOKUP(L193,CECOs!A:B,2,0)</f>
        <v>Oper. PTA FP</v>
      </c>
      <c r="P193" s="17" t="str">
        <f>VLOOKUP(B:B,CECOs!G:I,3,FALSE)</f>
        <v>OperadordePlantadeAguaCPF</v>
      </c>
      <c r="Q193" s="17" t="str">
        <f>IF(_xlfn.XLOOKUP(L193,CECOs!A:A,CECOs!C:C,"")="",K193,_xlfn.XLOOKUP(L193,CECOs!A:A,CECOs!C:C,""))</f>
        <v>HUARTE, ESTEBAN</v>
      </c>
      <c r="R193" s="17" t="s">
        <v>38</v>
      </c>
      <c r="S193" s="17" t="s">
        <v>45</v>
      </c>
      <c r="T193" s="17" t="s">
        <v>61</v>
      </c>
      <c r="U193" s="17" t="s">
        <v>217</v>
      </c>
      <c r="V193" s="17" t="s">
        <v>95</v>
      </c>
      <c r="W193" s="17"/>
      <c r="X193" s="17"/>
      <c r="Y193" s="17"/>
      <c r="Z193" s="17"/>
      <c r="AA193" s="17"/>
      <c r="AB193" s="17" t="s">
        <v>49</v>
      </c>
      <c r="AC193" s="17"/>
      <c r="AD193" s="17" t="s">
        <v>50</v>
      </c>
      <c r="AE193" s="17"/>
      <c r="AF193" s="17"/>
      <c r="AG193" s="17"/>
      <c r="AH193" s="17"/>
      <c r="AI193" s="17"/>
      <c r="AJ193" s="17"/>
      <c r="AK193" s="29"/>
    </row>
    <row r="194" spans="1:37" ht="9.9499999999999993">
      <c r="A194" s="29">
        <v>46266</v>
      </c>
      <c r="B194" s="22">
        <v>3392957</v>
      </c>
      <c r="C194" s="17" t="s">
        <v>339</v>
      </c>
      <c r="D194" s="17" t="s">
        <v>38</v>
      </c>
      <c r="E194" s="17" t="s">
        <v>38</v>
      </c>
      <c r="F194" s="17"/>
      <c r="G194" s="17" t="str">
        <f>Table1[[#This Row],[DESCRIPCION_POSICION]]</f>
        <v>Ingresante de Plantas</v>
      </c>
      <c r="H194" s="17" t="s">
        <v>577</v>
      </c>
      <c r="I194" s="17" t="s">
        <v>40</v>
      </c>
      <c r="J194" s="17" t="s">
        <v>68</v>
      </c>
      <c r="K194" s="17" t="s">
        <v>86</v>
      </c>
      <c r="L194" s="36" t="s">
        <v>536</v>
      </c>
      <c r="M194" s="103"/>
      <c r="N194" s="38" t="s">
        <v>578</v>
      </c>
      <c r="O194" s="36" t="str">
        <f>VLOOKUP(L194,CECOs!A:B,2,0)</f>
        <v>Oper. PTA FP</v>
      </c>
      <c r="P194" s="17" t="str">
        <f>VLOOKUP(B:B,CECOs!G:I,3,FALSE)</f>
        <v>OperadordePlantadeAguaCPF</v>
      </c>
      <c r="Q194" s="17" t="str">
        <f>IF(_xlfn.XLOOKUP(L194,CECOs!A:A,CECOs!C:C,"")="",K194,_xlfn.XLOOKUP(L194,CECOs!A:A,CECOs!C:C,""))</f>
        <v>HUARTE, ESTEBAN</v>
      </c>
      <c r="R194" s="17" t="s">
        <v>38</v>
      </c>
      <c r="S194" s="17" t="s">
        <v>45</v>
      </c>
      <c r="T194" s="17" t="s">
        <v>61</v>
      </c>
      <c r="U194" s="17" t="s">
        <v>217</v>
      </c>
      <c r="V194" s="17" t="s">
        <v>95</v>
      </c>
      <c r="W194" s="17"/>
      <c r="X194" s="17"/>
      <c r="Y194" s="17"/>
      <c r="Z194" s="17"/>
      <c r="AA194" s="17"/>
      <c r="AB194" s="17" t="s">
        <v>49</v>
      </c>
      <c r="AC194" s="17"/>
      <c r="AD194" s="17" t="s">
        <v>50</v>
      </c>
      <c r="AE194" s="17"/>
      <c r="AF194" s="17"/>
      <c r="AG194" s="17"/>
      <c r="AH194" s="17"/>
      <c r="AI194" s="17"/>
      <c r="AJ194" s="17"/>
      <c r="AK194" s="29"/>
    </row>
    <row r="195" spans="1:37" ht="9.9499999999999993">
      <c r="A195" s="29">
        <v>46266</v>
      </c>
      <c r="B195" s="22">
        <v>3392931</v>
      </c>
      <c r="C195" s="17" t="s">
        <v>579</v>
      </c>
      <c r="D195" s="17" t="s">
        <v>38</v>
      </c>
      <c r="E195" s="17" t="s">
        <v>38</v>
      </c>
      <c r="F195" s="17"/>
      <c r="G195" s="17" t="str">
        <f>Table1[[#This Row],[DESCRIPCION_POSICION]]</f>
        <v>Operador Sr. de Plantas</v>
      </c>
      <c r="H195" s="17" t="s">
        <v>580</v>
      </c>
      <c r="I195" s="17" t="s">
        <v>40</v>
      </c>
      <c r="J195" s="17" t="s">
        <v>68</v>
      </c>
      <c r="K195" s="17" t="s">
        <v>86</v>
      </c>
      <c r="L195" s="36" t="s">
        <v>514</v>
      </c>
      <c r="M195" s="103"/>
      <c r="N195" s="38" t="s">
        <v>581</v>
      </c>
      <c r="O195" s="36" t="str">
        <f>VLOOKUP(L195,CECOs!A:B,2,0)</f>
        <v>Oper. EPF FP</v>
      </c>
      <c r="P195" s="17" t="str">
        <f>VLOOKUP(B:B,CECOs!G:I,3,FALSE)</f>
        <v>OperadordeplantaEPF</v>
      </c>
      <c r="Q195" s="17" t="str">
        <f>IF(_xlfn.XLOOKUP(L195,CECOs!A:A,CECOs!C:C,"")="",K195,_xlfn.XLOOKUP(L195,CECOs!A:A,CECOs!C:C,""))</f>
        <v>HUARTE, ESTEBAN</v>
      </c>
      <c r="R195" s="17" t="s">
        <v>38</v>
      </c>
      <c r="S195" s="17" t="s">
        <v>45</v>
      </c>
      <c r="T195" s="17" t="s">
        <v>61</v>
      </c>
      <c r="U195" s="17" t="s">
        <v>217</v>
      </c>
      <c r="V195" s="17" t="s">
        <v>95</v>
      </c>
      <c r="W195" s="17"/>
      <c r="X195" s="17"/>
      <c r="Y195" s="17"/>
      <c r="Z195" s="17"/>
      <c r="AA195" s="17"/>
      <c r="AB195" s="17" t="s">
        <v>49</v>
      </c>
      <c r="AC195" s="17"/>
      <c r="AD195" s="17" t="s">
        <v>50</v>
      </c>
      <c r="AE195" s="17"/>
      <c r="AF195" s="17"/>
      <c r="AG195" s="17"/>
      <c r="AH195" s="17"/>
      <c r="AI195" s="17"/>
      <c r="AJ195" s="17"/>
      <c r="AK195" s="29"/>
    </row>
    <row r="196" spans="1:37" ht="9.9499999999999993">
      <c r="A196" s="29">
        <v>46266</v>
      </c>
      <c r="B196" s="22">
        <v>3392959</v>
      </c>
      <c r="C196" s="17" t="s">
        <v>274</v>
      </c>
      <c r="D196" s="17" t="s">
        <v>38</v>
      </c>
      <c r="E196" s="17" t="s">
        <v>38</v>
      </c>
      <c r="F196" s="17"/>
      <c r="G196" s="17" t="str">
        <f>Table1[[#This Row],[DESCRIPCION_POSICION]]</f>
        <v>Operador Especializado de Plantas</v>
      </c>
      <c r="H196" s="17" t="s">
        <v>582</v>
      </c>
      <c r="I196" s="17" t="s">
        <v>40</v>
      </c>
      <c r="J196" s="17" t="s">
        <v>68</v>
      </c>
      <c r="K196" s="17" t="s">
        <v>86</v>
      </c>
      <c r="L196" s="36" t="s">
        <v>536</v>
      </c>
      <c r="M196" s="103"/>
      <c r="N196" s="38" t="s">
        <v>583</v>
      </c>
      <c r="O196" s="36" t="str">
        <f>VLOOKUP(L196,CECOs!A:B,2,0)</f>
        <v>Oper. PTA FP</v>
      </c>
      <c r="P196" s="17" t="str">
        <f>VLOOKUP(B:B,CECOs!G:I,3,FALSE)</f>
        <v>OperadordePlantadeAguaCPF</v>
      </c>
      <c r="Q196" s="17" t="str">
        <f>IF(_xlfn.XLOOKUP(L196,CECOs!A:A,CECOs!C:C,"")="",K196,_xlfn.XLOOKUP(L196,CECOs!A:A,CECOs!C:C,""))</f>
        <v>HUARTE, ESTEBAN</v>
      </c>
      <c r="R196" s="17" t="s">
        <v>38</v>
      </c>
      <c r="S196" s="17" t="s">
        <v>45</v>
      </c>
      <c r="T196" s="17" t="s">
        <v>61</v>
      </c>
      <c r="U196" s="17" t="s">
        <v>217</v>
      </c>
      <c r="V196" s="17" t="s">
        <v>95</v>
      </c>
      <c r="W196" s="17"/>
      <c r="X196" s="17"/>
      <c r="Y196" s="17"/>
      <c r="Z196" s="17"/>
      <c r="AA196" s="17"/>
      <c r="AB196" s="17" t="s">
        <v>49</v>
      </c>
      <c r="AC196" s="17"/>
      <c r="AD196" s="17" t="s">
        <v>50</v>
      </c>
      <c r="AE196" s="17"/>
      <c r="AF196" s="17"/>
      <c r="AG196" s="17"/>
      <c r="AH196" s="17"/>
      <c r="AI196" s="17"/>
      <c r="AJ196" s="17"/>
      <c r="AK196" s="29"/>
    </row>
    <row r="197" spans="1:37" ht="9.9499999999999993">
      <c r="A197" s="29">
        <v>46266</v>
      </c>
      <c r="B197" s="22">
        <v>3406968</v>
      </c>
      <c r="C197" s="17" t="s">
        <v>274</v>
      </c>
      <c r="D197" s="17" t="s">
        <v>38</v>
      </c>
      <c r="E197" s="17" t="s">
        <v>38</v>
      </c>
      <c r="F197" s="17"/>
      <c r="G197" s="17" t="str">
        <f>Table1[[#This Row],[DESCRIPCION_POSICION]]</f>
        <v>Operador Especializado de Plantas</v>
      </c>
      <c r="H197" s="17" t="s">
        <v>584</v>
      </c>
      <c r="I197" s="17" t="s">
        <v>40</v>
      </c>
      <c r="J197" s="17" t="s">
        <v>68</v>
      </c>
      <c r="K197" s="17" t="s">
        <v>86</v>
      </c>
      <c r="L197" s="36" t="s">
        <v>276</v>
      </c>
      <c r="M197" s="103"/>
      <c r="N197" s="38" t="s">
        <v>585</v>
      </c>
      <c r="O197" s="36" t="str">
        <f>VLOOKUP(L197,CECOs!A:B,2,0)</f>
        <v>Oper. Planta Compresión FP</v>
      </c>
      <c r="P197" s="17" t="str">
        <f>VLOOKUP(B:B,CECOs!G:I,3,FALSE)</f>
        <v>OperadordeCompresiónPlanta</v>
      </c>
      <c r="Q197" s="17" t="str">
        <f>IF(_xlfn.XLOOKUP(L197,CECOs!A:A,CECOs!C:C,"")="",K197,_xlfn.XLOOKUP(L197,CECOs!A:A,CECOs!C:C,""))</f>
        <v>HUARTE, ESTEBAN</v>
      </c>
      <c r="R197" s="17" t="s">
        <v>38</v>
      </c>
      <c r="S197" s="17" t="s">
        <v>45</v>
      </c>
      <c r="T197" s="17"/>
      <c r="U197" s="17" t="s">
        <v>217</v>
      </c>
      <c r="V197" s="17" t="s">
        <v>95</v>
      </c>
      <c r="W197" s="17"/>
      <c r="X197" s="17"/>
      <c r="Y197" s="17"/>
      <c r="Z197" s="17"/>
      <c r="AA197" s="17"/>
      <c r="AB197" s="17" t="s">
        <v>49</v>
      </c>
      <c r="AC197" s="17"/>
      <c r="AD197" s="17" t="s">
        <v>50</v>
      </c>
      <c r="AE197" s="17"/>
      <c r="AF197" s="17"/>
      <c r="AG197" s="17"/>
      <c r="AH197" s="17"/>
      <c r="AI197" s="17"/>
      <c r="AJ197" s="17"/>
      <c r="AK197" s="29"/>
    </row>
    <row r="198" spans="1:37" ht="9.9499999999999993">
      <c r="A198" s="29">
        <v>46266</v>
      </c>
      <c r="B198" s="22">
        <v>3401243</v>
      </c>
      <c r="C198" s="17" t="s">
        <v>218</v>
      </c>
      <c r="D198" s="17" t="s">
        <v>38</v>
      </c>
      <c r="E198" s="17" t="s">
        <v>38</v>
      </c>
      <c r="F198" s="17"/>
      <c r="G198" s="17" t="str">
        <f>Table1[[#This Row],[DESCRIPCION_POSICION]]</f>
        <v>Maintenance Sr. Supervisor</v>
      </c>
      <c r="H198" s="17" t="s">
        <v>586</v>
      </c>
      <c r="I198" s="17" t="s">
        <v>40</v>
      </c>
      <c r="J198" s="17" t="s">
        <v>68</v>
      </c>
      <c r="K198" s="17" t="s">
        <v>98</v>
      </c>
      <c r="L198" s="17" t="s">
        <v>221</v>
      </c>
      <c r="M198" s="103"/>
      <c r="N198" s="42" t="s">
        <v>587</v>
      </c>
      <c r="O198" s="36" t="str">
        <f>VLOOKUP(L198,CECOs!A:B,2,0)</f>
        <v>Supervisores Mtto</v>
      </c>
      <c r="P198" s="17" t="str">
        <f>VLOOKUP(B:B,CECOs!G:I,3,FALSE)</f>
        <v>Supervisoroperativo/Producción</v>
      </c>
      <c r="Q198" s="17" t="str">
        <f>IF(_xlfn.XLOOKUP(L198,CECOs!A:A,CECOs!C:C,"")="",K198,_xlfn.XLOOKUP(L198,CECOs!A:A,CECOs!C:C,""))</f>
        <v>Segura Alejandro</v>
      </c>
      <c r="R198" s="17" t="s">
        <v>38</v>
      </c>
      <c r="S198" s="17" t="s">
        <v>45</v>
      </c>
      <c r="T198" s="17" t="s">
        <v>190</v>
      </c>
      <c r="U198" s="17" t="s">
        <v>285</v>
      </c>
      <c r="V198" s="17" t="s">
        <v>48</v>
      </c>
      <c r="W198" s="17"/>
      <c r="X198" s="17"/>
      <c r="Y198" s="17"/>
      <c r="Z198" s="17"/>
      <c r="AA198" s="17"/>
      <c r="AB198" s="17" t="s">
        <v>49</v>
      </c>
      <c r="AC198" s="17"/>
      <c r="AD198" s="17" t="s">
        <v>228</v>
      </c>
      <c r="AE198" s="17"/>
      <c r="AF198" s="17"/>
      <c r="AG198" s="17"/>
      <c r="AH198" s="17"/>
      <c r="AI198" s="17"/>
      <c r="AJ198" s="17"/>
      <c r="AK198" s="29"/>
    </row>
    <row r="199" spans="1:37" ht="9.9499999999999993">
      <c r="A199" s="29">
        <v>46266</v>
      </c>
      <c r="B199" s="22">
        <v>3392967</v>
      </c>
      <c r="C199" s="17" t="s">
        <v>274</v>
      </c>
      <c r="D199" s="17" t="s">
        <v>38</v>
      </c>
      <c r="E199" s="17" t="s">
        <v>38</v>
      </c>
      <c r="F199" s="17"/>
      <c r="G199" s="17" t="str">
        <f>Table1[[#This Row],[DESCRIPCION_POSICION]]</f>
        <v>Operador Especializado de Plantas</v>
      </c>
      <c r="H199" s="17" t="s">
        <v>588</v>
      </c>
      <c r="I199" s="17" t="s">
        <v>40</v>
      </c>
      <c r="J199" s="17" t="s">
        <v>68</v>
      </c>
      <c r="K199" s="17" t="s">
        <v>86</v>
      </c>
      <c r="L199" s="36" t="s">
        <v>276</v>
      </c>
      <c r="M199" s="103"/>
      <c r="N199" s="38" t="s">
        <v>589</v>
      </c>
      <c r="O199" s="36" t="str">
        <f>VLOOKUP(L199,CECOs!A:B,2,0)</f>
        <v>Oper. Planta Compresión FP</v>
      </c>
      <c r="P199" s="17" t="str">
        <f>VLOOKUP(B:B,CECOs!G:I,3,FALSE)</f>
        <v>OperadordeCompresiónPlanta</v>
      </c>
      <c r="Q199" s="17" t="str">
        <f>IF(_xlfn.XLOOKUP(L199,CECOs!A:A,CECOs!C:C,"")="",K199,_xlfn.XLOOKUP(L199,CECOs!A:A,CECOs!C:C,""))</f>
        <v>HUARTE, ESTEBAN</v>
      </c>
      <c r="R199" s="17" t="s">
        <v>38</v>
      </c>
      <c r="S199" s="17" t="s">
        <v>45</v>
      </c>
      <c r="T199" s="17" t="s">
        <v>61</v>
      </c>
      <c r="U199" s="17" t="s">
        <v>217</v>
      </c>
      <c r="V199" s="17" t="s">
        <v>95</v>
      </c>
      <c r="W199" s="17"/>
      <c r="X199" s="17"/>
      <c r="Y199" s="17"/>
      <c r="Z199" s="17"/>
      <c r="AA199" s="17"/>
      <c r="AB199" s="17" t="s">
        <v>49</v>
      </c>
      <c r="AC199" s="17"/>
      <c r="AD199" s="17" t="s">
        <v>50</v>
      </c>
      <c r="AE199" s="17"/>
      <c r="AF199" s="17"/>
      <c r="AG199" s="17"/>
      <c r="AH199" s="17"/>
      <c r="AI199" s="17"/>
      <c r="AJ199" s="17"/>
      <c r="AK199" s="29"/>
    </row>
    <row r="200" spans="1:37" ht="9.9499999999999993">
      <c r="A200" s="29">
        <v>46266</v>
      </c>
      <c r="B200" s="22">
        <v>3406966</v>
      </c>
      <c r="C200" s="17" t="s">
        <v>274</v>
      </c>
      <c r="D200" s="17" t="s">
        <v>38</v>
      </c>
      <c r="E200" s="17" t="s">
        <v>38</v>
      </c>
      <c r="F200" s="17"/>
      <c r="G200" s="17" t="str">
        <f>Table1[[#This Row],[DESCRIPCION_POSICION]]</f>
        <v>Operador Especializado de Plantas</v>
      </c>
      <c r="H200" s="17" t="s">
        <v>590</v>
      </c>
      <c r="I200" s="17" t="s">
        <v>40</v>
      </c>
      <c r="J200" s="17" t="s">
        <v>68</v>
      </c>
      <c r="K200" s="17" t="s">
        <v>86</v>
      </c>
      <c r="L200" s="36" t="s">
        <v>276</v>
      </c>
      <c r="M200" s="103"/>
      <c r="N200" s="38" t="s">
        <v>591</v>
      </c>
      <c r="O200" s="36" t="str">
        <f>VLOOKUP(L200,CECOs!A:B,2,0)</f>
        <v>Oper. Planta Compresión FP</v>
      </c>
      <c r="P200" s="17" t="str">
        <f>VLOOKUP(B:B,CECOs!G:I,3,FALSE)</f>
        <v>OperadordeCompresiónPlanta</v>
      </c>
      <c r="Q200" s="17" t="str">
        <f>IF(_xlfn.XLOOKUP(L200,CECOs!A:A,CECOs!C:C,"")="",K200,_xlfn.XLOOKUP(L200,CECOs!A:A,CECOs!C:C,""))</f>
        <v>HUARTE, ESTEBAN</v>
      </c>
      <c r="R200" s="17" t="s">
        <v>38</v>
      </c>
      <c r="S200" s="17" t="s">
        <v>45</v>
      </c>
      <c r="T200" s="17"/>
      <c r="U200" s="17" t="s">
        <v>217</v>
      </c>
      <c r="V200" s="17" t="s">
        <v>95</v>
      </c>
      <c r="W200" s="17"/>
      <c r="X200" s="17"/>
      <c r="Y200" s="17"/>
      <c r="Z200" s="17"/>
      <c r="AA200" s="17"/>
      <c r="AB200" s="17" t="s">
        <v>49</v>
      </c>
      <c r="AC200" s="17"/>
      <c r="AD200" s="17" t="s">
        <v>50</v>
      </c>
      <c r="AE200" s="17"/>
      <c r="AF200" s="17"/>
      <c r="AG200" s="17"/>
      <c r="AH200" s="17"/>
      <c r="AI200" s="17"/>
      <c r="AJ200" s="17"/>
      <c r="AK200" s="29"/>
    </row>
    <row r="201" spans="1:37" ht="9.9499999999999993">
      <c r="A201" s="29">
        <v>46266</v>
      </c>
      <c r="B201" s="22">
        <v>3392966</v>
      </c>
      <c r="C201" s="17" t="s">
        <v>274</v>
      </c>
      <c r="D201" s="17" t="s">
        <v>38</v>
      </c>
      <c r="E201" s="17" t="s">
        <v>38</v>
      </c>
      <c r="F201" s="17"/>
      <c r="G201" s="17" t="str">
        <f>Table1[[#This Row],[DESCRIPCION_POSICION]]</f>
        <v>Operador Especializado de Plantas</v>
      </c>
      <c r="H201" s="17" t="s">
        <v>592</v>
      </c>
      <c r="I201" s="17" t="s">
        <v>40</v>
      </c>
      <c r="J201" s="17" t="s">
        <v>68</v>
      </c>
      <c r="K201" s="17" t="s">
        <v>86</v>
      </c>
      <c r="L201" s="36" t="s">
        <v>276</v>
      </c>
      <c r="M201" s="103"/>
      <c r="N201" s="38" t="s">
        <v>593</v>
      </c>
      <c r="O201" s="36" t="str">
        <f>VLOOKUP(L201,CECOs!A:B,2,0)</f>
        <v>Oper. Planta Compresión FP</v>
      </c>
      <c r="P201" s="17" t="str">
        <f>VLOOKUP(B:B,CECOs!G:I,3,FALSE)</f>
        <v>OperadordeCompresiónPlanta</v>
      </c>
      <c r="Q201" s="17" t="str">
        <f>IF(_xlfn.XLOOKUP(L201,CECOs!A:A,CECOs!C:C,"")="",K201,_xlfn.XLOOKUP(L201,CECOs!A:A,CECOs!C:C,""))</f>
        <v>HUARTE, ESTEBAN</v>
      </c>
      <c r="R201" s="17" t="s">
        <v>38</v>
      </c>
      <c r="S201" s="17" t="s">
        <v>45</v>
      </c>
      <c r="T201" s="17" t="s">
        <v>61</v>
      </c>
      <c r="U201" s="17" t="s">
        <v>217</v>
      </c>
      <c r="V201" s="17" t="s">
        <v>95</v>
      </c>
      <c r="W201" s="17"/>
      <c r="X201" s="17"/>
      <c r="Y201" s="17"/>
      <c r="Z201" s="17"/>
      <c r="AA201" s="17"/>
      <c r="AB201" s="17" t="s">
        <v>49</v>
      </c>
      <c r="AC201" s="17"/>
      <c r="AD201" s="17" t="s">
        <v>50</v>
      </c>
      <c r="AE201" s="17"/>
      <c r="AF201" s="17"/>
      <c r="AG201" s="17"/>
      <c r="AH201" s="17"/>
      <c r="AI201" s="17"/>
      <c r="AJ201" s="17"/>
      <c r="AK201" s="29"/>
    </row>
    <row r="202" spans="1:37" ht="9.9499999999999993">
      <c r="A202" s="29">
        <v>46266</v>
      </c>
      <c r="B202" s="22">
        <v>3406965</v>
      </c>
      <c r="C202" s="17" t="s">
        <v>274</v>
      </c>
      <c r="D202" s="17" t="s">
        <v>38</v>
      </c>
      <c r="E202" s="17" t="s">
        <v>38</v>
      </c>
      <c r="F202" s="17"/>
      <c r="G202" s="17" t="str">
        <f>Table1[[#This Row],[DESCRIPCION_POSICION]]</f>
        <v>Operador Especializado de Plantas</v>
      </c>
      <c r="H202" s="17" t="s">
        <v>594</v>
      </c>
      <c r="I202" s="17" t="s">
        <v>40</v>
      </c>
      <c r="J202" s="17" t="s">
        <v>68</v>
      </c>
      <c r="K202" s="17" t="s">
        <v>86</v>
      </c>
      <c r="L202" s="36" t="s">
        <v>276</v>
      </c>
      <c r="M202" s="103"/>
      <c r="N202" s="38" t="s">
        <v>595</v>
      </c>
      <c r="O202" s="36" t="str">
        <f>VLOOKUP(L202,CECOs!A:B,2,0)</f>
        <v>Oper. Planta Compresión FP</v>
      </c>
      <c r="P202" s="17" t="str">
        <f>VLOOKUP(B:B,CECOs!G:I,3,FALSE)</f>
        <v>OperadordeCompresiónPlanta</v>
      </c>
      <c r="Q202" s="17" t="str">
        <f>IF(_xlfn.XLOOKUP(L202,CECOs!A:A,CECOs!C:C,"")="",K202,_xlfn.XLOOKUP(L202,CECOs!A:A,CECOs!C:C,""))</f>
        <v>HUARTE, ESTEBAN</v>
      </c>
      <c r="R202" s="17" t="s">
        <v>38</v>
      </c>
      <c r="S202" s="17" t="s">
        <v>45</v>
      </c>
      <c r="T202" s="17"/>
      <c r="U202" s="17" t="s">
        <v>217</v>
      </c>
      <c r="V202" s="17" t="s">
        <v>95</v>
      </c>
      <c r="W202" s="17"/>
      <c r="X202" s="17"/>
      <c r="Y202" s="17"/>
      <c r="Z202" s="17"/>
      <c r="AA202" s="17"/>
      <c r="AB202" s="17" t="s">
        <v>49</v>
      </c>
      <c r="AC202" s="17"/>
      <c r="AD202" s="17" t="s">
        <v>50</v>
      </c>
      <c r="AE202" s="17"/>
      <c r="AF202" s="17"/>
      <c r="AG202" s="17"/>
      <c r="AH202" s="17"/>
      <c r="AI202" s="17"/>
      <c r="AJ202" s="17"/>
      <c r="AK202" s="29"/>
    </row>
    <row r="203" spans="1:37" ht="9.9499999999999993">
      <c r="A203" s="29">
        <v>46266</v>
      </c>
      <c r="B203" s="22">
        <v>3406967</v>
      </c>
      <c r="C203" s="17" t="s">
        <v>274</v>
      </c>
      <c r="D203" s="17" t="s">
        <v>38</v>
      </c>
      <c r="E203" s="17" t="s">
        <v>38</v>
      </c>
      <c r="F203" s="17"/>
      <c r="G203" s="17" t="str">
        <f>Table1[[#This Row],[DESCRIPCION_POSICION]]</f>
        <v>Operador Especializado de Plantas</v>
      </c>
      <c r="H203" s="17" t="s">
        <v>596</v>
      </c>
      <c r="I203" s="17" t="s">
        <v>40</v>
      </c>
      <c r="J203" s="17" t="s">
        <v>68</v>
      </c>
      <c r="K203" s="17" t="s">
        <v>86</v>
      </c>
      <c r="L203" s="36" t="s">
        <v>276</v>
      </c>
      <c r="M203" s="103"/>
      <c r="N203" s="38" t="s">
        <v>597</v>
      </c>
      <c r="O203" s="36" t="str">
        <f>VLOOKUP(L203,CECOs!A:B,2,0)</f>
        <v>Oper. Planta Compresión FP</v>
      </c>
      <c r="P203" s="17" t="str">
        <f>VLOOKUP(B:B,CECOs!G:I,3,FALSE)</f>
        <v>OperadordeCompresiónPlanta</v>
      </c>
      <c r="Q203" s="17" t="str">
        <f>IF(_xlfn.XLOOKUP(L203,CECOs!A:A,CECOs!C:C,"")="",K203,_xlfn.XLOOKUP(L203,CECOs!A:A,CECOs!C:C,""))</f>
        <v>HUARTE, ESTEBAN</v>
      </c>
      <c r="R203" s="17" t="s">
        <v>38</v>
      </c>
      <c r="S203" s="17" t="s">
        <v>45</v>
      </c>
      <c r="T203" s="17"/>
      <c r="U203" s="17" t="s">
        <v>217</v>
      </c>
      <c r="V203" s="17" t="s">
        <v>95</v>
      </c>
      <c r="W203" s="17"/>
      <c r="X203" s="17"/>
      <c r="Y203" s="17"/>
      <c r="Z203" s="17"/>
      <c r="AA203" s="17"/>
      <c r="AB203" s="17" t="s">
        <v>49</v>
      </c>
      <c r="AC203" s="17"/>
      <c r="AD203" s="17" t="s">
        <v>50</v>
      </c>
      <c r="AE203" s="17"/>
      <c r="AF203" s="17"/>
      <c r="AG203" s="17"/>
      <c r="AH203" s="17"/>
      <c r="AI203" s="17"/>
      <c r="AJ203" s="17"/>
      <c r="AK203" s="29"/>
    </row>
    <row r="204" spans="1:37" ht="9.9499999999999993">
      <c r="A204" s="29">
        <v>46266</v>
      </c>
      <c r="B204" s="22">
        <v>3392968</v>
      </c>
      <c r="C204" s="17" t="s">
        <v>274</v>
      </c>
      <c r="D204" s="17" t="s">
        <v>38</v>
      </c>
      <c r="E204" s="17" t="s">
        <v>38</v>
      </c>
      <c r="F204" s="17"/>
      <c r="G204" s="17" t="str">
        <f>Table1[[#This Row],[DESCRIPCION_POSICION]]</f>
        <v>Operador Especializado de Plantas</v>
      </c>
      <c r="H204" s="22" t="s">
        <v>598</v>
      </c>
      <c r="I204" s="17" t="s">
        <v>40</v>
      </c>
      <c r="J204" s="17" t="s">
        <v>68</v>
      </c>
      <c r="K204" s="17" t="s">
        <v>86</v>
      </c>
      <c r="L204" s="36" t="s">
        <v>276</v>
      </c>
      <c r="M204" s="103"/>
      <c r="N204" s="37" t="s">
        <v>599</v>
      </c>
      <c r="O204" s="36" t="str">
        <f>VLOOKUP(L204,CECOs!A:B,2,0)</f>
        <v>Oper. Planta Compresión FP</v>
      </c>
      <c r="P204" s="17" t="str">
        <f>VLOOKUP(B:B,CECOs!G:I,3,FALSE)</f>
        <v>OperadordeCompresiónPlanta</v>
      </c>
      <c r="Q204" s="17" t="str">
        <f>IF(_xlfn.XLOOKUP(L204,CECOs!A:A,CECOs!C:C,"")="",K204,_xlfn.XLOOKUP(L204,CECOs!A:A,CECOs!C:C,""))</f>
        <v>HUARTE, ESTEBAN</v>
      </c>
      <c r="R204" s="17" t="s">
        <v>38</v>
      </c>
      <c r="S204" s="17" t="s">
        <v>45</v>
      </c>
      <c r="T204" s="17" t="s">
        <v>61</v>
      </c>
      <c r="U204" s="17" t="s">
        <v>217</v>
      </c>
      <c r="V204" s="17" t="s">
        <v>95</v>
      </c>
      <c r="W204" s="17"/>
      <c r="X204" s="17"/>
      <c r="Y204" s="17"/>
      <c r="Z204" s="17"/>
      <c r="AA204" s="17"/>
      <c r="AB204" s="17" t="s">
        <v>49</v>
      </c>
      <c r="AC204" s="17"/>
      <c r="AD204" s="17" t="s">
        <v>50</v>
      </c>
      <c r="AE204" s="17"/>
      <c r="AF204" s="17"/>
      <c r="AG204" s="17"/>
      <c r="AH204" s="17"/>
      <c r="AI204" s="17"/>
      <c r="AJ204" s="17"/>
      <c r="AK204" s="29"/>
    </row>
    <row r="205" spans="1:37" ht="9.9499999999999993">
      <c r="A205" s="29">
        <v>46266</v>
      </c>
      <c r="B205" s="22">
        <v>3392963</v>
      </c>
      <c r="C205" s="17" t="s">
        <v>274</v>
      </c>
      <c r="D205" s="17" t="s">
        <v>38</v>
      </c>
      <c r="E205" s="17" t="s">
        <v>38</v>
      </c>
      <c r="F205" s="17"/>
      <c r="G205" s="17" t="str">
        <f>Table1[[#This Row],[DESCRIPCION_POSICION]]</f>
        <v>Operador Especializado de Plantas</v>
      </c>
      <c r="H205" s="17" t="s">
        <v>600</v>
      </c>
      <c r="I205" s="17" t="s">
        <v>40</v>
      </c>
      <c r="J205" s="17" t="s">
        <v>68</v>
      </c>
      <c r="K205" s="17" t="s">
        <v>86</v>
      </c>
      <c r="L205" s="36" t="s">
        <v>276</v>
      </c>
      <c r="M205" s="103"/>
      <c r="N205" s="38" t="s">
        <v>601</v>
      </c>
      <c r="O205" s="36" t="str">
        <f>VLOOKUP(L205,CECOs!A:B,2,0)</f>
        <v>Oper. Planta Compresión FP</v>
      </c>
      <c r="P205" s="17" t="str">
        <f>VLOOKUP(B:B,CECOs!G:I,3,FALSE)</f>
        <v>OperadordeCompresiónPlanta</v>
      </c>
      <c r="Q205" s="17" t="str">
        <f>IF(_xlfn.XLOOKUP(L205,CECOs!A:A,CECOs!C:C,"")="",K205,_xlfn.XLOOKUP(L205,CECOs!A:A,CECOs!C:C,""))</f>
        <v>HUARTE, ESTEBAN</v>
      </c>
      <c r="R205" s="17" t="s">
        <v>38</v>
      </c>
      <c r="S205" s="17" t="s">
        <v>45</v>
      </c>
      <c r="T205" s="17" t="s">
        <v>61</v>
      </c>
      <c r="U205" s="17" t="s">
        <v>217</v>
      </c>
      <c r="V205" s="17" t="s">
        <v>95</v>
      </c>
      <c r="W205" s="17"/>
      <c r="X205" s="17"/>
      <c r="Y205" s="17"/>
      <c r="Z205" s="17"/>
      <c r="AA205" s="17"/>
      <c r="AB205" s="17" t="s">
        <v>49</v>
      </c>
      <c r="AC205" s="17"/>
      <c r="AD205" s="17" t="s">
        <v>50</v>
      </c>
      <c r="AE205" s="17"/>
      <c r="AF205" s="17"/>
      <c r="AG205" s="17"/>
      <c r="AH205" s="17"/>
      <c r="AI205" s="17"/>
      <c r="AJ205" s="17"/>
      <c r="AK205" s="29"/>
    </row>
    <row r="206" spans="1:37" ht="9.9499999999999993">
      <c r="A206" s="29">
        <v>46266</v>
      </c>
      <c r="B206" s="22">
        <v>3392964</v>
      </c>
      <c r="C206" s="17" t="s">
        <v>274</v>
      </c>
      <c r="D206" s="17" t="s">
        <v>38</v>
      </c>
      <c r="E206" s="17" t="s">
        <v>38</v>
      </c>
      <c r="F206" s="17"/>
      <c r="G206" s="17" t="str">
        <f>Table1[[#This Row],[DESCRIPCION_POSICION]]</f>
        <v>Operador Especializado de Plantas</v>
      </c>
      <c r="H206" s="22" t="s">
        <v>602</v>
      </c>
      <c r="I206" s="17" t="s">
        <v>40</v>
      </c>
      <c r="J206" s="17" t="s">
        <v>68</v>
      </c>
      <c r="K206" s="17" t="s">
        <v>86</v>
      </c>
      <c r="L206" s="36" t="s">
        <v>276</v>
      </c>
      <c r="M206" s="103"/>
      <c r="N206" s="37" t="s">
        <v>603</v>
      </c>
      <c r="O206" s="36" t="str">
        <f>VLOOKUP(L206,CECOs!A:B,2,0)</f>
        <v>Oper. Planta Compresión FP</v>
      </c>
      <c r="P206" s="17" t="str">
        <f>VLOOKUP(B:B,CECOs!G:I,3,FALSE)</f>
        <v>OperadordeCompresiónPlanta</v>
      </c>
      <c r="Q206" s="17" t="str">
        <f>IF(_xlfn.XLOOKUP(L206,CECOs!A:A,CECOs!C:C,"")="",K206,_xlfn.XLOOKUP(L206,CECOs!A:A,CECOs!C:C,""))</f>
        <v>HUARTE, ESTEBAN</v>
      </c>
      <c r="R206" s="17" t="s">
        <v>38</v>
      </c>
      <c r="S206" s="17" t="s">
        <v>45</v>
      </c>
      <c r="T206" s="17" t="s">
        <v>61</v>
      </c>
      <c r="U206" s="17" t="s">
        <v>217</v>
      </c>
      <c r="V206" s="17" t="s">
        <v>95</v>
      </c>
      <c r="W206" s="17"/>
      <c r="X206" s="17"/>
      <c r="Y206" s="17"/>
      <c r="Z206" s="17"/>
      <c r="AA206" s="17"/>
      <c r="AB206" s="17" t="s">
        <v>49</v>
      </c>
      <c r="AC206" s="17"/>
      <c r="AD206" s="17" t="s">
        <v>50</v>
      </c>
      <c r="AE206" s="17"/>
      <c r="AF206" s="17"/>
      <c r="AG206" s="17"/>
      <c r="AH206" s="17"/>
      <c r="AI206" s="17"/>
      <c r="AJ206" s="17"/>
      <c r="AK206" s="29"/>
    </row>
    <row r="207" spans="1:37" ht="9.9499999999999993">
      <c r="A207" s="29">
        <v>46266</v>
      </c>
      <c r="B207" s="22">
        <v>3393046</v>
      </c>
      <c r="C207" s="17" t="s">
        <v>604</v>
      </c>
      <c r="D207" s="17" t="s">
        <v>38</v>
      </c>
      <c r="E207" s="17" t="s">
        <v>38</v>
      </c>
      <c r="F207" s="17"/>
      <c r="G207" s="17" t="str">
        <f>Table1[[#This Row],[DESCRIPCION_POSICION]]</f>
        <v>Chofer</v>
      </c>
      <c r="H207" s="22" t="s">
        <v>605</v>
      </c>
      <c r="I207" s="17" t="s">
        <v>40</v>
      </c>
      <c r="J207" s="17" t="s">
        <v>68</v>
      </c>
      <c r="K207" s="17" t="s">
        <v>86</v>
      </c>
      <c r="L207" s="36" t="s">
        <v>606</v>
      </c>
      <c r="M207" s="103"/>
      <c r="N207" s="37" t="s">
        <v>607</v>
      </c>
      <c r="O207" s="36" t="str">
        <f>VLOOKUP(L207,CECOs!A:B,2,0)</f>
        <v>Tareas Generales Mtto FP</v>
      </c>
      <c r="P207" s="17" t="str">
        <f>VLOOKUP(B:B,CECOs!G:I,3,FALSE)</f>
        <v>Tareasgenerales</v>
      </c>
      <c r="Q207" s="17" t="str">
        <f>IF(_xlfn.XLOOKUP(L207,CECOs!A:A,CECOs!C:C,"")="",K207,_xlfn.XLOOKUP(L207,CECOs!A:A,CECOs!C:C,""))</f>
        <v>CORDOVA, DANIELA / ALTAMIRANDA, LEANDRO</v>
      </c>
      <c r="R207" s="17" t="s">
        <v>38</v>
      </c>
      <c r="S207" s="17" t="s">
        <v>45</v>
      </c>
      <c r="T207" s="17" t="s">
        <v>61</v>
      </c>
      <c r="U207" s="17" t="s">
        <v>217</v>
      </c>
      <c r="V207" s="17" t="s">
        <v>95</v>
      </c>
      <c r="W207" s="17"/>
      <c r="X207" s="17"/>
      <c r="Y207" s="17"/>
      <c r="Z207" s="17"/>
      <c r="AA207" s="17"/>
      <c r="AB207" s="17" t="s">
        <v>49</v>
      </c>
      <c r="AC207" s="17"/>
      <c r="AD207" s="17" t="s">
        <v>50</v>
      </c>
      <c r="AE207" s="17"/>
      <c r="AF207" s="17"/>
      <c r="AG207" s="17"/>
      <c r="AH207" s="17"/>
      <c r="AI207" s="17"/>
      <c r="AJ207" s="17"/>
      <c r="AK207" s="29"/>
    </row>
    <row r="208" spans="1:37" ht="9.9499999999999993">
      <c r="A208" s="29">
        <v>46266</v>
      </c>
      <c r="B208" s="22">
        <v>3392971</v>
      </c>
      <c r="C208" s="17" t="s">
        <v>328</v>
      </c>
      <c r="D208" s="17" t="s">
        <v>38</v>
      </c>
      <c r="E208" s="17" t="s">
        <v>38</v>
      </c>
      <c r="F208" s="17"/>
      <c r="G208" s="17" t="str">
        <f>Table1[[#This Row],[DESCRIPCION_POSICION]]</f>
        <v>Operador Especializado Semi Jr. Plantas</v>
      </c>
      <c r="H208" s="17" t="s">
        <v>608</v>
      </c>
      <c r="I208" s="17" t="s">
        <v>40</v>
      </c>
      <c r="J208" s="17" t="s">
        <v>68</v>
      </c>
      <c r="K208" s="17" t="s">
        <v>86</v>
      </c>
      <c r="L208" s="36" t="s">
        <v>609</v>
      </c>
      <c r="N208" s="38" t="s">
        <v>610</v>
      </c>
      <c r="O208" s="36" t="str">
        <f>VLOOKUP(L208,CECOs!A:B,2,0)</f>
        <v>Tareas Generales Planta FP</v>
      </c>
      <c r="P208" s="17" t="str">
        <f>VLOOKUP(B:B,CECOs!G:I,3,FALSE)</f>
        <v>Serviciosgenerales</v>
      </c>
      <c r="Q208" s="17" t="str">
        <f>IF(_xlfn.XLOOKUP(L208,CECOs!A:A,CECOs!C:C,"")="",K208,_xlfn.XLOOKUP(L208,CECOs!A:A,CECOs!C:C,""))</f>
        <v>HUARTE, ESTEBAN</v>
      </c>
      <c r="R208" s="17" t="s">
        <v>38</v>
      </c>
      <c r="S208" s="17" t="s">
        <v>45</v>
      </c>
      <c r="T208" s="17" t="s">
        <v>61</v>
      </c>
      <c r="U208" s="17" t="s">
        <v>217</v>
      </c>
      <c r="V208" s="17" t="s">
        <v>95</v>
      </c>
      <c r="W208" s="17"/>
      <c r="X208" s="17"/>
      <c r="Y208" s="17"/>
      <c r="Z208" s="17"/>
      <c r="AA208" s="17"/>
      <c r="AB208" s="17" t="s">
        <v>49</v>
      </c>
      <c r="AC208" s="17"/>
      <c r="AD208" s="17" t="s">
        <v>50</v>
      </c>
      <c r="AE208" s="17"/>
      <c r="AF208" s="17"/>
      <c r="AG208" s="17"/>
      <c r="AH208" s="17"/>
      <c r="AI208" s="17"/>
      <c r="AJ208" s="17"/>
      <c r="AK208" s="29"/>
    </row>
    <row r="209" spans="1:37" ht="9.9499999999999993">
      <c r="A209" s="29">
        <v>46266</v>
      </c>
      <c r="B209" s="22">
        <v>3392972</v>
      </c>
      <c r="C209" s="17" t="s">
        <v>274</v>
      </c>
      <c r="D209" s="17" t="s">
        <v>38</v>
      </c>
      <c r="E209" s="17" t="s">
        <v>38</v>
      </c>
      <c r="F209" s="17"/>
      <c r="G209" s="17" t="str">
        <f>Table1[[#This Row],[DESCRIPCION_POSICION]]</f>
        <v>Operador Especializado de Plantas</v>
      </c>
      <c r="H209" s="17" t="s">
        <v>611</v>
      </c>
      <c r="I209" s="17" t="s">
        <v>40</v>
      </c>
      <c r="J209" s="17" t="s">
        <v>68</v>
      </c>
      <c r="K209" s="17" t="s">
        <v>86</v>
      </c>
      <c r="L209" s="36" t="s">
        <v>609</v>
      </c>
      <c r="M209" s="103"/>
      <c r="N209" s="38" t="s">
        <v>612</v>
      </c>
      <c r="O209" s="36" t="str">
        <f>VLOOKUP(L209,CECOs!A:B,2,0)</f>
        <v>Tareas Generales Planta FP</v>
      </c>
      <c r="P209" s="17" t="str">
        <f>VLOOKUP(B:B,CECOs!G:I,3,FALSE)</f>
        <v>Serviciosgenerales</v>
      </c>
      <c r="Q209" s="17" t="str">
        <f>IF(_xlfn.XLOOKUP(L209,CECOs!A:A,CECOs!C:C,"")="",K209,_xlfn.XLOOKUP(L209,CECOs!A:A,CECOs!C:C,""))</f>
        <v>HUARTE, ESTEBAN</v>
      </c>
      <c r="R209" s="17" t="s">
        <v>38</v>
      </c>
      <c r="S209" s="17" t="s">
        <v>45</v>
      </c>
      <c r="T209" s="17" t="s">
        <v>61</v>
      </c>
      <c r="U209" s="17" t="s">
        <v>217</v>
      </c>
      <c r="V209" s="17" t="s">
        <v>95</v>
      </c>
      <c r="W209" s="17"/>
      <c r="X209" s="17"/>
      <c r="Y209" s="17"/>
      <c r="Z209" s="17"/>
      <c r="AA209" s="17"/>
      <c r="AB209" s="17" t="s">
        <v>49</v>
      </c>
      <c r="AC209" s="17"/>
      <c r="AD209" s="17" t="s">
        <v>50</v>
      </c>
      <c r="AE209" s="17"/>
      <c r="AF209" s="17"/>
      <c r="AG209" s="17"/>
      <c r="AH209" s="17"/>
      <c r="AI209" s="17"/>
      <c r="AJ209" s="17"/>
      <c r="AK209" s="29"/>
    </row>
    <row r="210" spans="1:37" ht="9.9499999999999993">
      <c r="A210" s="29">
        <v>46266</v>
      </c>
      <c r="B210" s="22">
        <v>3392973</v>
      </c>
      <c r="C210" s="17" t="s">
        <v>274</v>
      </c>
      <c r="D210" s="17" t="s">
        <v>38</v>
      </c>
      <c r="E210" s="17" t="s">
        <v>38</v>
      </c>
      <c r="F210" s="17"/>
      <c r="G210" s="17" t="str">
        <f>Table1[[#This Row],[DESCRIPCION_POSICION]]</f>
        <v>Operador Especializado de Plantas</v>
      </c>
      <c r="H210" s="17" t="s">
        <v>613</v>
      </c>
      <c r="I210" s="17" t="s">
        <v>40</v>
      </c>
      <c r="J210" s="17" t="s">
        <v>68</v>
      </c>
      <c r="K210" s="17" t="s">
        <v>86</v>
      </c>
      <c r="L210" s="36" t="s">
        <v>609</v>
      </c>
      <c r="M210" s="103"/>
      <c r="N210" s="38" t="s">
        <v>614</v>
      </c>
      <c r="O210" s="36" t="str">
        <f>VLOOKUP(L210,CECOs!A:B,2,0)</f>
        <v>Tareas Generales Planta FP</v>
      </c>
      <c r="P210" s="17" t="str">
        <f>VLOOKUP(B:B,CECOs!G:I,3,FALSE)</f>
        <v>Serviciosgenerales</v>
      </c>
      <c r="Q210" s="17" t="str">
        <f>IF(_xlfn.XLOOKUP(L210,CECOs!A:A,CECOs!C:C,"")="",K210,_xlfn.XLOOKUP(L210,CECOs!A:A,CECOs!C:C,""))</f>
        <v>HUARTE, ESTEBAN</v>
      </c>
      <c r="R210" s="17" t="s">
        <v>38</v>
      </c>
      <c r="S210" s="17" t="s">
        <v>45</v>
      </c>
      <c r="T210" s="17" t="s">
        <v>61</v>
      </c>
      <c r="U210" s="17" t="s">
        <v>217</v>
      </c>
      <c r="V210" s="17" t="s">
        <v>95</v>
      </c>
      <c r="W210" s="17"/>
      <c r="X210" s="17"/>
      <c r="Y210" s="17"/>
      <c r="Z210" s="17"/>
      <c r="AA210" s="17"/>
      <c r="AB210" s="17" t="s">
        <v>49</v>
      </c>
      <c r="AC210" s="17"/>
      <c r="AD210" s="17" t="s">
        <v>50</v>
      </c>
      <c r="AE210" s="17"/>
      <c r="AF210" s="17"/>
      <c r="AG210" s="17"/>
      <c r="AH210" s="17"/>
      <c r="AI210" s="17"/>
      <c r="AJ210" s="17"/>
      <c r="AK210" s="29"/>
    </row>
    <row r="211" spans="1:37" ht="9.9499999999999993">
      <c r="A211" s="29">
        <v>46266</v>
      </c>
      <c r="B211" s="22">
        <v>3392974</v>
      </c>
      <c r="C211" s="17" t="s">
        <v>615</v>
      </c>
      <c r="D211" s="17" t="s">
        <v>38</v>
      </c>
      <c r="E211" s="17" t="s">
        <v>38</v>
      </c>
      <c r="F211" s="17"/>
      <c r="G211" s="17" t="str">
        <f>Table1[[#This Row],[DESCRIPCION_POSICION]]</f>
        <v>Chofer Transporte Personal (14+1)</v>
      </c>
      <c r="H211" s="17" t="s">
        <v>616</v>
      </c>
      <c r="I211" s="17" t="s">
        <v>40</v>
      </c>
      <c r="J211" s="17" t="s">
        <v>68</v>
      </c>
      <c r="K211" s="17" t="s">
        <v>86</v>
      </c>
      <c r="L211" s="36" t="s">
        <v>617</v>
      </c>
      <c r="M211" s="103"/>
      <c r="N211" s="38" t="s">
        <v>618</v>
      </c>
      <c r="O211" s="36" t="str">
        <f>VLOOKUP(L211,CECOs!A:B,2,0)</f>
        <v>Chofer FP</v>
      </c>
      <c r="P211" s="17" t="str">
        <f>VLOOKUP(B:B,CECOs!G:I,3,FALSE)</f>
        <v>Choferes/Logística</v>
      </c>
      <c r="Q211" s="17" t="str">
        <f>IF(_xlfn.XLOOKUP(L211,CECOs!A:A,CECOs!C:C,"")="",K211,_xlfn.XLOOKUP(L211,CECOs!A:A,CECOs!C:C,""))</f>
        <v>CASAL, GUSTAVO</v>
      </c>
      <c r="R211" s="17" t="s">
        <v>38</v>
      </c>
      <c r="S211" s="17" t="s">
        <v>45</v>
      </c>
      <c r="T211" s="17" t="s">
        <v>190</v>
      </c>
      <c r="U211" s="17" t="s">
        <v>94</v>
      </c>
      <c r="V211" s="17" t="s">
        <v>95</v>
      </c>
      <c r="W211" s="17"/>
      <c r="X211" s="17"/>
      <c r="Y211" s="17"/>
      <c r="Z211" s="17"/>
      <c r="AA211" s="17"/>
      <c r="AB211" s="17" t="s">
        <v>49</v>
      </c>
      <c r="AC211" s="17"/>
      <c r="AD211" s="17" t="s">
        <v>50</v>
      </c>
      <c r="AE211" s="17"/>
      <c r="AF211" s="17"/>
      <c r="AG211" s="17"/>
      <c r="AH211" s="17"/>
      <c r="AI211" s="17"/>
      <c r="AJ211" s="17"/>
      <c r="AK211" s="29"/>
    </row>
    <row r="212" spans="1:37" ht="9.9499999999999993">
      <c r="A212" s="29">
        <v>46266</v>
      </c>
      <c r="B212" s="22">
        <v>3392975</v>
      </c>
      <c r="C212" s="17" t="s">
        <v>619</v>
      </c>
      <c r="D212" s="17" t="s">
        <v>38</v>
      </c>
      <c r="E212" s="17" t="s">
        <v>38</v>
      </c>
      <c r="F212" s="17"/>
      <c r="G212" s="17" t="str">
        <f>Table1[[#This Row],[DESCRIPCION_POSICION]]</f>
        <v>Chofer Especializado Transporte Personal</v>
      </c>
      <c r="H212" s="17" t="s">
        <v>620</v>
      </c>
      <c r="I212" s="17" t="s">
        <v>40</v>
      </c>
      <c r="J212" s="17" t="s">
        <v>68</v>
      </c>
      <c r="K212" s="17" t="s">
        <v>86</v>
      </c>
      <c r="L212" s="36" t="s">
        <v>617</v>
      </c>
      <c r="M212" s="103"/>
      <c r="N212" s="38" t="s">
        <v>621</v>
      </c>
      <c r="O212" s="36" t="str">
        <f>VLOOKUP(L212,CECOs!A:B,2,0)</f>
        <v>Chofer FP</v>
      </c>
      <c r="P212" s="17" t="str">
        <f>VLOOKUP(B:B,CECOs!G:I,3,FALSE)</f>
        <v>Choferes/Logística</v>
      </c>
      <c r="Q212" s="17" t="str">
        <f>IF(_xlfn.XLOOKUP(L212,CECOs!A:A,CECOs!C:C,"")="",K212,_xlfn.XLOOKUP(L212,CECOs!A:A,CECOs!C:C,""))</f>
        <v>CASAL, GUSTAVO</v>
      </c>
      <c r="R212" s="17" t="s">
        <v>38</v>
      </c>
      <c r="S212" s="17" t="s">
        <v>45</v>
      </c>
      <c r="T212" s="17" t="s">
        <v>190</v>
      </c>
      <c r="U212" s="17" t="s">
        <v>94</v>
      </c>
      <c r="V212" s="17" t="s">
        <v>95</v>
      </c>
      <c r="W212" s="17"/>
      <c r="X212" s="17"/>
      <c r="Y212" s="17"/>
      <c r="Z212" s="17"/>
      <c r="AA212" s="17"/>
      <c r="AB212" s="17" t="s">
        <v>49</v>
      </c>
      <c r="AC212" s="17"/>
      <c r="AD212" s="17" t="s">
        <v>50</v>
      </c>
      <c r="AE212" s="17"/>
      <c r="AF212" s="17"/>
      <c r="AG212" s="17"/>
      <c r="AH212" s="17"/>
      <c r="AI212" s="17"/>
      <c r="AJ212" s="17"/>
      <c r="AK212" s="29"/>
    </row>
    <row r="213" spans="1:37" ht="9.9499999999999993">
      <c r="A213" s="29">
        <v>46266</v>
      </c>
      <c r="B213" s="22">
        <v>3392976</v>
      </c>
      <c r="C213" s="17" t="s">
        <v>622</v>
      </c>
      <c r="D213" s="17" t="s">
        <v>38</v>
      </c>
      <c r="E213" s="17" t="s">
        <v>38</v>
      </c>
      <c r="F213" s="17"/>
      <c r="G213" s="17" t="str">
        <f>Table1[[#This Row],[DESCRIPCION_POSICION]]</f>
        <v>Ingresante de Oficios</v>
      </c>
      <c r="H213" s="17" t="s">
        <v>623</v>
      </c>
      <c r="I213" s="17" t="s">
        <v>40</v>
      </c>
      <c r="J213" s="17" t="s">
        <v>68</v>
      </c>
      <c r="K213" s="17" t="s">
        <v>624</v>
      </c>
      <c r="L213" s="36" t="s">
        <v>625</v>
      </c>
      <c r="M213" s="103"/>
      <c r="N213" s="38" t="s">
        <v>626</v>
      </c>
      <c r="O213" s="36" t="str">
        <f>VLOOKUP(L213,CECOs!A:B,2,0)</f>
        <v>Mecánicos de flota TLM</v>
      </c>
      <c r="P213" s="17" t="str">
        <f>VLOOKUP(B:B,CECOs!G:I,3,FALSE)</f>
        <v>Mecánicos,engraseyflota</v>
      </c>
      <c r="Q213" s="17" t="str">
        <f>IF(_xlfn.XLOOKUP(L213,CECOs!A:A,CECOs!C:C,"")="",K213,_xlfn.XLOOKUP(L213,CECOs!A:A,CECOs!C:C,""))</f>
        <v>CASAL, GUSTAVO</v>
      </c>
      <c r="R213" s="17" t="s">
        <v>38</v>
      </c>
      <c r="S213" s="17" t="s">
        <v>45</v>
      </c>
      <c r="T213" s="17" t="s">
        <v>190</v>
      </c>
      <c r="U213" s="17" t="s">
        <v>627</v>
      </c>
      <c r="V213" s="17" t="s">
        <v>95</v>
      </c>
      <c r="W213" s="17"/>
      <c r="X213" s="17"/>
      <c r="Y213" s="17"/>
      <c r="Z213" s="17"/>
      <c r="AA213" s="17"/>
      <c r="AB213" s="17" t="s">
        <v>49</v>
      </c>
      <c r="AC213" s="17"/>
      <c r="AD213" s="17" t="s">
        <v>50</v>
      </c>
      <c r="AE213" s="17"/>
      <c r="AF213" s="17"/>
      <c r="AG213" s="17"/>
      <c r="AH213" s="17"/>
      <c r="AI213" s="17"/>
      <c r="AJ213" s="17"/>
      <c r="AK213" s="29"/>
    </row>
    <row r="214" spans="1:37" ht="9.9499999999999993">
      <c r="A214" s="29">
        <v>46266</v>
      </c>
      <c r="B214" s="22">
        <v>3392977</v>
      </c>
      <c r="C214" s="17" t="s">
        <v>410</v>
      </c>
      <c r="D214" s="17" t="s">
        <v>38</v>
      </c>
      <c r="E214" s="17" t="s">
        <v>38</v>
      </c>
      <c r="F214" s="17"/>
      <c r="G214" s="17" t="str">
        <f>Table1[[#This Row],[DESCRIPCION_POSICION]]</f>
        <v>Oficial de Oficios</v>
      </c>
      <c r="H214" s="17" t="s">
        <v>628</v>
      </c>
      <c r="I214" s="17" t="s">
        <v>40</v>
      </c>
      <c r="J214" s="17" t="s">
        <v>68</v>
      </c>
      <c r="K214" s="17" t="s">
        <v>624</v>
      </c>
      <c r="L214" s="36" t="s">
        <v>292</v>
      </c>
      <c r="M214" s="103"/>
      <c r="N214" s="38" t="s">
        <v>629</v>
      </c>
      <c r="O214" s="36" t="str">
        <f>VLOOKUP(L214,CECOs!A:B,2,0)</f>
        <v>Mecánicos FP</v>
      </c>
      <c r="P214" s="17" t="str">
        <f>VLOOKUP(B:B,CECOs!G:I,3,FALSE)</f>
        <v>Mecánicos,engraseyflota</v>
      </c>
      <c r="Q214" s="17" t="str">
        <f>IF(_xlfn.XLOOKUP(L214,CECOs!A:A,CECOs!C:C,"")="",K214,_xlfn.XLOOKUP(L214,CECOs!A:A,CECOs!C:C,""))</f>
        <v>CASAL, GUSTAVO</v>
      </c>
      <c r="R214" s="17" t="s">
        <v>38</v>
      </c>
      <c r="S214" s="17" t="s">
        <v>45</v>
      </c>
      <c r="T214" s="17" t="s">
        <v>190</v>
      </c>
      <c r="U214" s="17" t="s">
        <v>143</v>
      </c>
      <c r="V214" s="17" t="s">
        <v>95</v>
      </c>
      <c r="W214" s="17"/>
      <c r="X214" s="17"/>
      <c r="Y214" s="17"/>
      <c r="Z214" s="17"/>
      <c r="AA214" s="17"/>
      <c r="AB214" s="17" t="s">
        <v>49</v>
      </c>
      <c r="AC214" s="17"/>
      <c r="AD214" s="17" t="s">
        <v>50</v>
      </c>
      <c r="AE214" s="17"/>
      <c r="AF214" s="17"/>
      <c r="AG214" s="17"/>
      <c r="AH214" s="17"/>
      <c r="AI214" s="17"/>
      <c r="AJ214" s="17"/>
      <c r="AK214" s="29"/>
    </row>
    <row r="215" spans="1:37" ht="9.9499999999999993">
      <c r="A215" s="29">
        <v>46266</v>
      </c>
      <c r="B215" s="22">
        <v>3392978</v>
      </c>
      <c r="C215" s="17" t="s">
        <v>410</v>
      </c>
      <c r="D215" s="17" t="s">
        <v>38</v>
      </c>
      <c r="E215" s="17" t="s">
        <v>38</v>
      </c>
      <c r="F215" s="17"/>
      <c r="G215" s="17" t="str">
        <f>Table1[[#This Row],[DESCRIPCION_POSICION]]</f>
        <v>Oficial de Oficios</v>
      </c>
      <c r="H215" s="17" t="s">
        <v>630</v>
      </c>
      <c r="I215" s="17" t="s">
        <v>40</v>
      </c>
      <c r="J215" s="17" t="s">
        <v>68</v>
      </c>
      <c r="K215" s="17" t="s">
        <v>624</v>
      </c>
      <c r="L215" s="36" t="s">
        <v>292</v>
      </c>
      <c r="M215" s="103"/>
      <c r="N215" s="38" t="s">
        <v>631</v>
      </c>
      <c r="O215" s="36" t="str">
        <f>VLOOKUP(L215,CECOs!A:B,2,0)</f>
        <v>Mecánicos FP</v>
      </c>
      <c r="P215" s="17" t="str">
        <f>VLOOKUP(B:B,CECOs!G:I,3,FALSE)</f>
        <v>Mecánicos,engraseyflota</v>
      </c>
      <c r="Q215" s="17" t="str">
        <f>IF(_xlfn.XLOOKUP(L215,CECOs!A:A,CECOs!C:C,"")="",K215,_xlfn.XLOOKUP(L215,CECOs!A:A,CECOs!C:C,""))</f>
        <v>CASAL, GUSTAVO</v>
      </c>
      <c r="R215" s="17" t="s">
        <v>38</v>
      </c>
      <c r="S215" s="17" t="s">
        <v>45</v>
      </c>
      <c r="T215" s="17" t="s">
        <v>190</v>
      </c>
      <c r="U215" s="17" t="s">
        <v>143</v>
      </c>
      <c r="V215" s="17" t="s">
        <v>95</v>
      </c>
      <c r="W215" s="17"/>
      <c r="X215" s="17"/>
      <c r="Y215" s="17"/>
      <c r="Z215" s="17"/>
      <c r="AA215" s="17"/>
      <c r="AB215" s="17" t="s">
        <v>49</v>
      </c>
      <c r="AC215" s="17"/>
      <c r="AD215" s="17" t="s">
        <v>50</v>
      </c>
      <c r="AE215" s="17"/>
      <c r="AF215" s="17"/>
      <c r="AG215" s="17"/>
      <c r="AH215" s="17"/>
      <c r="AI215" s="17"/>
      <c r="AJ215" s="17"/>
      <c r="AK215" s="29"/>
    </row>
    <row r="216" spans="1:37" ht="9.9499999999999993">
      <c r="A216" s="29">
        <v>46266</v>
      </c>
      <c r="B216" s="22">
        <v>3392979</v>
      </c>
      <c r="C216" s="17" t="s">
        <v>410</v>
      </c>
      <c r="D216" s="17" t="s">
        <v>38</v>
      </c>
      <c r="E216" s="17" t="s">
        <v>38</v>
      </c>
      <c r="F216" s="17"/>
      <c r="G216" s="17" t="str">
        <f>Table1[[#This Row],[DESCRIPCION_POSICION]]</f>
        <v>Oficial de Oficios</v>
      </c>
      <c r="H216" s="17" t="s">
        <v>632</v>
      </c>
      <c r="I216" s="17" t="s">
        <v>40</v>
      </c>
      <c r="J216" s="17" t="s">
        <v>68</v>
      </c>
      <c r="K216" s="17" t="s">
        <v>624</v>
      </c>
      <c r="L216" s="36" t="s">
        <v>292</v>
      </c>
      <c r="M216" s="103"/>
      <c r="N216" s="38" t="s">
        <v>633</v>
      </c>
      <c r="O216" s="36" t="str">
        <f>VLOOKUP(L216,CECOs!A:B,2,0)</f>
        <v>Mecánicos FP</v>
      </c>
      <c r="P216" s="17" t="str">
        <f>VLOOKUP(B:B,CECOs!G:I,3,FALSE)</f>
        <v>Mecánicos,engraseyflota</v>
      </c>
      <c r="Q216" s="17" t="str">
        <f>IF(_xlfn.XLOOKUP(L216,CECOs!A:A,CECOs!C:C,"")="",K216,_xlfn.XLOOKUP(L216,CECOs!A:A,CECOs!C:C,""))</f>
        <v>CASAL, GUSTAVO</v>
      </c>
      <c r="R216" s="17" t="s">
        <v>38</v>
      </c>
      <c r="S216" s="17" t="s">
        <v>45</v>
      </c>
      <c r="T216" s="17" t="s">
        <v>190</v>
      </c>
      <c r="U216" s="17" t="s">
        <v>143</v>
      </c>
      <c r="V216" s="17" t="s">
        <v>95</v>
      </c>
      <c r="W216" s="17"/>
      <c r="X216" s="17"/>
      <c r="Y216" s="17"/>
      <c r="Z216" s="17"/>
      <c r="AA216" s="17"/>
      <c r="AB216" s="17" t="s">
        <v>49</v>
      </c>
      <c r="AC216" s="17"/>
      <c r="AD216" s="17" t="s">
        <v>50</v>
      </c>
      <c r="AE216" s="17"/>
      <c r="AF216" s="17"/>
      <c r="AG216" s="17"/>
      <c r="AH216" s="17"/>
      <c r="AI216" s="17"/>
      <c r="AJ216" s="17"/>
      <c r="AK216" s="29"/>
    </row>
    <row r="217" spans="1:37" ht="9.9499999999999993">
      <c r="A217" s="29">
        <v>46266</v>
      </c>
      <c r="B217" s="22">
        <v>3392980</v>
      </c>
      <c r="C217" s="17" t="s">
        <v>213</v>
      </c>
      <c r="D217" s="17" t="s">
        <v>38</v>
      </c>
      <c r="E217" s="17" t="s">
        <v>38</v>
      </c>
      <c r="F217" s="17"/>
      <c r="G217" s="17" t="str">
        <f>Table1[[#This Row],[DESCRIPCION_POSICION]]</f>
        <v>Recorredor Especializado</v>
      </c>
      <c r="H217" s="17" t="s">
        <v>634</v>
      </c>
      <c r="I217" s="17" t="s">
        <v>40</v>
      </c>
      <c r="J217" s="17" t="s">
        <v>68</v>
      </c>
      <c r="K217" s="17" t="s">
        <v>86</v>
      </c>
      <c r="L217" s="36" t="s">
        <v>635</v>
      </c>
      <c r="M217" s="103"/>
      <c r="N217" s="38" t="s">
        <v>636</v>
      </c>
      <c r="O217" s="36" t="str">
        <f>VLOOKUP(L217,CECOs!A:B,2,0)</f>
        <v>Oper campo FP</v>
      </c>
      <c r="P217" s="17" t="str">
        <f>VLOOKUP(B:B,CECOs!G:I,3,FALSE)</f>
        <v>OperadordeCampo</v>
      </c>
      <c r="Q217" s="17" t="str">
        <f>IF(_xlfn.XLOOKUP(L217,CECOs!A:A,CECOs!C:C,"")="",K217,_xlfn.XLOOKUP(L217,CECOs!A:A,CECOs!C:C,""))</f>
        <v>HUARTE, ESTEBAN</v>
      </c>
      <c r="R217" s="17" t="s">
        <v>38</v>
      </c>
      <c r="S217" s="17" t="s">
        <v>45</v>
      </c>
      <c r="T217" s="17" t="s">
        <v>61</v>
      </c>
      <c r="U217" s="17" t="s">
        <v>217</v>
      </c>
      <c r="V217" s="17" t="s">
        <v>95</v>
      </c>
      <c r="W217" s="17"/>
      <c r="X217" s="17"/>
      <c r="Y217" s="17"/>
      <c r="Z217" s="17"/>
      <c r="AA217" s="17"/>
      <c r="AB217" s="17" t="s">
        <v>49</v>
      </c>
      <c r="AC217" s="17"/>
      <c r="AD217" s="17" t="s">
        <v>50</v>
      </c>
      <c r="AE217" s="17"/>
      <c r="AF217" s="17"/>
      <c r="AG217" s="17"/>
      <c r="AH217" s="17"/>
      <c r="AI217" s="17"/>
      <c r="AJ217" s="17"/>
      <c r="AK217" s="29"/>
    </row>
    <row r="218" spans="1:37" ht="9.9499999999999993">
      <c r="A218" s="29">
        <v>46266</v>
      </c>
      <c r="B218" s="22">
        <v>3392981</v>
      </c>
      <c r="C218" s="17" t="s">
        <v>213</v>
      </c>
      <c r="D218" s="17" t="s">
        <v>38</v>
      </c>
      <c r="E218" s="17" t="s">
        <v>38</v>
      </c>
      <c r="F218" s="17"/>
      <c r="G218" s="17" t="str">
        <f>Table1[[#This Row],[DESCRIPCION_POSICION]]</f>
        <v>Recorredor Especializado</v>
      </c>
      <c r="H218" s="17" t="s">
        <v>637</v>
      </c>
      <c r="I218" s="17" t="s">
        <v>40</v>
      </c>
      <c r="J218" s="17" t="s">
        <v>68</v>
      </c>
      <c r="K218" s="17" t="s">
        <v>86</v>
      </c>
      <c r="L218" s="36" t="s">
        <v>635</v>
      </c>
      <c r="M218" s="103"/>
      <c r="N218" s="38" t="s">
        <v>638</v>
      </c>
      <c r="O218" s="36" t="str">
        <f>VLOOKUP(L218,CECOs!A:B,2,0)</f>
        <v>Oper campo FP</v>
      </c>
      <c r="P218" s="17" t="str">
        <f>VLOOKUP(B:B,CECOs!G:I,3,FALSE)</f>
        <v>OperadordeCampo</v>
      </c>
      <c r="Q218" s="17" t="str">
        <f>IF(_xlfn.XLOOKUP(L218,CECOs!A:A,CECOs!C:C,"")="",K218,_xlfn.XLOOKUP(L218,CECOs!A:A,CECOs!C:C,""))</f>
        <v>HUARTE, ESTEBAN</v>
      </c>
      <c r="R218" s="17" t="s">
        <v>38</v>
      </c>
      <c r="S218" s="17" t="s">
        <v>45</v>
      </c>
      <c r="T218" s="17" t="s">
        <v>61</v>
      </c>
      <c r="U218" s="17" t="s">
        <v>217</v>
      </c>
      <c r="V218" s="17" t="s">
        <v>95</v>
      </c>
      <c r="W218" s="17"/>
      <c r="X218" s="17"/>
      <c r="Y218" s="17"/>
      <c r="Z218" s="17"/>
      <c r="AA218" s="17"/>
      <c r="AB218" s="17" t="s">
        <v>49</v>
      </c>
      <c r="AC218" s="17"/>
      <c r="AD218" s="17" t="s">
        <v>50</v>
      </c>
      <c r="AE218" s="17"/>
      <c r="AF218" s="17"/>
      <c r="AG218" s="17"/>
      <c r="AH218" s="17"/>
      <c r="AI218" s="17"/>
      <c r="AJ218" s="17"/>
      <c r="AK218" s="29"/>
    </row>
    <row r="219" spans="1:37" ht="9.9499999999999993">
      <c r="A219" s="29">
        <v>46266</v>
      </c>
      <c r="B219" s="22">
        <v>3392983</v>
      </c>
      <c r="C219" s="17" t="s">
        <v>213</v>
      </c>
      <c r="D219" s="17" t="s">
        <v>38</v>
      </c>
      <c r="E219" s="17" t="s">
        <v>38</v>
      </c>
      <c r="F219" s="17"/>
      <c r="G219" s="17" t="str">
        <f>Table1[[#This Row],[DESCRIPCION_POSICION]]</f>
        <v>Recorredor Especializado</v>
      </c>
      <c r="H219" s="17" t="s">
        <v>639</v>
      </c>
      <c r="I219" s="17" t="s">
        <v>40</v>
      </c>
      <c r="J219" s="17" t="s">
        <v>68</v>
      </c>
      <c r="K219" s="17" t="s">
        <v>86</v>
      </c>
      <c r="L219" s="36" t="s">
        <v>635</v>
      </c>
      <c r="M219" s="103"/>
      <c r="N219" s="38" t="s">
        <v>640</v>
      </c>
      <c r="O219" s="36" t="str">
        <f>VLOOKUP(L219,CECOs!A:B,2,0)</f>
        <v>Oper campo FP</v>
      </c>
      <c r="P219" s="17" t="str">
        <f>VLOOKUP(B:B,CECOs!G:I,3,FALSE)</f>
        <v>OperadordeCampo</v>
      </c>
      <c r="Q219" s="17" t="str">
        <f>IF(_xlfn.XLOOKUP(L219,CECOs!A:A,CECOs!C:C,"")="",K219,_xlfn.XLOOKUP(L219,CECOs!A:A,CECOs!C:C,""))</f>
        <v>HUARTE, ESTEBAN</v>
      </c>
      <c r="R219" s="17" t="s">
        <v>38</v>
      </c>
      <c r="S219" s="17" t="s">
        <v>45</v>
      </c>
      <c r="T219" s="17" t="s">
        <v>61</v>
      </c>
      <c r="U219" s="17" t="s">
        <v>217</v>
      </c>
      <c r="V219" s="17" t="s">
        <v>95</v>
      </c>
      <c r="W219" s="17"/>
      <c r="X219" s="17"/>
      <c r="Y219" s="17"/>
      <c r="Z219" s="17"/>
      <c r="AA219" s="17"/>
      <c r="AB219" s="17" t="s">
        <v>49</v>
      </c>
      <c r="AC219" s="17"/>
      <c r="AD219" s="17" t="s">
        <v>50</v>
      </c>
      <c r="AE219" s="17"/>
      <c r="AF219" s="17"/>
      <c r="AG219" s="17"/>
      <c r="AH219" s="17"/>
      <c r="AI219" s="17"/>
      <c r="AJ219" s="17"/>
      <c r="AK219" s="29"/>
    </row>
    <row r="220" spans="1:37" ht="9.9499999999999993">
      <c r="A220" s="29">
        <v>46266</v>
      </c>
      <c r="B220" s="22">
        <v>3392984</v>
      </c>
      <c r="C220" s="17" t="s">
        <v>213</v>
      </c>
      <c r="D220" s="17" t="s">
        <v>38</v>
      </c>
      <c r="E220" s="17" t="s">
        <v>38</v>
      </c>
      <c r="F220" s="17"/>
      <c r="G220" s="17" t="str">
        <f>Table1[[#This Row],[DESCRIPCION_POSICION]]</f>
        <v>Recorredor Especializado</v>
      </c>
      <c r="H220" s="17" t="s">
        <v>641</v>
      </c>
      <c r="I220" s="17" t="s">
        <v>40</v>
      </c>
      <c r="J220" s="17" t="s">
        <v>68</v>
      </c>
      <c r="K220" s="17" t="s">
        <v>86</v>
      </c>
      <c r="L220" s="36" t="s">
        <v>635</v>
      </c>
      <c r="M220" s="103"/>
      <c r="N220" s="38" t="s">
        <v>642</v>
      </c>
      <c r="O220" s="36" t="str">
        <f>VLOOKUP(L220,CECOs!A:B,2,0)</f>
        <v>Oper campo FP</v>
      </c>
      <c r="P220" s="17" t="str">
        <f>VLOOKUP(B:B,CECOs!G:I,3,FALSE)</f>
        <v>OperadordeCampo</v>
      </c>
      <c r="Q220" s="17" t="str">
        <f>IF(_xlfn.XLOOKUP(L220,CECOs!A:A,CECOs!C:C,"")="",K220,_xlfn.XLOOKUP(L220,CECOs!A:A,CECOs!C:C,""))</f>
        <v>HUARTE, ESTEBAN</v>
      </c>
      <c r="R220" s="17" t="s">
        <v>38</v>
      </c>
      <c r="S220" s="17" t="s">
        <v>45</v>
      </c>
      <c r="T220" s="17" t="s">
        <v>61</v>
      </c>
      <c r="U220" s="17" t="s">
        <v>217</v>
      </c>
      <c r="V220" s="17" t="s">
        <v>95</v>
      </c>
      <c r="W220" s="17"/>
      <c r="X220" s="17"/>
      <c r="Y220" s="17"/>
      <c r="Z220" s="17"/>
      <c r="AA220" s="17"/>
      <c r="AB220" s="17" t="s">
        <v>49</v>
      </c>
      <c r="AC220" s="17"/>
      <c r="AD220" s="17" t="s">
        <v>50</v>
      </c>
      <c r="AE220" s="17"/>
      <c r="AF220" s="17"/>
      <c r="AG220" s="17"/>
      <c r="AH220" s="17"/>
      <c r="AI220" s="17"/>
      <c r="AJ220" s="17"/>
      <c r="AK220" s="29"/>
    </row>
    <row r="221" spans="1:37" ht="9.9499999999999993">
      <c r="A221" s="29">
        <v>46266</v>
      </c>
      <c r="B221" s="22">
        <v>3392985</v>
      </c>
      <c r="C221" s="17" t="s">
        <v>213</v>
      </c>
      <c r="D221" s="17" t="s">
        <v>38</v>
      </c>
      <c r="E221" s="17" t="s">
        <v>38</v>
      </c>
      <c r="F221" s="17"/>
      <c r="G221" s="17" t="str">
        <f>Table1[[#This Row],[DESCRIPCION_POSICION]]</f>
        <v>Recorredor Especializado</v>
      </c>
      <c r="H221" s="17" t="s">
        <v>643</v>
      </c>
      <c r="I221" s="17" t="s">
        <v>40</v>
      </c>
      <c r="J221" s="17" t="s">
        <v>68</v>
      </c>
      <c r="K221" s="17" t="s">
        <v>86</v>
      </c>
      <c r="L221" s="36" t="s">
        <v>635</v>
      </c>
      <c r="M221" s="103"/>
      <c r="N221" s="38" t="s">
        <v>644</v>
      </c>
      <c r="O221" s="36" t="str">
        <f>VLOOKUP(L221,CECOs!A:B,2,0)</f>
        <v>Oper campo FP</v>
      </c>
      <c r="P221" s="17" t="str">
        <f>VLOOKUP(B:B,CECOs!G:I,3,FALSE)</f>
        <v>OperadordeCampo</v>
      </c>
      <c r="Q221" s="17" t="str">
        <f>IF(_xlfn.XLOOKUP(L221,CECOs!A:A,CECOs!C:C,"")="",K221,_xlfn.XLOOKUP(L221,CECOs!A:A,CECOs!C:C,""))</f>
        <v>HUARTE, ESTEBAN</v>
      </c>
      <c r="R221" s="17" t="s">
        <v>38</v>
      </c>
      <c r="S221" s="17" t="s">
        <v>45</v>
      </c>
      <c r="T221" s="17" t="s">
        <v>61</v>
      </c>
      <c r="U221" s="17" t="s">
        <v>217</v>
      </c>
      <c r="V221" s="17" t="s">
        <v>95</v>
      </c>
      <c r="W221" s="17"/>
      <c r="X221" s="17"/>
      <c r="Y221" s="17"/>
      <c r="Z221" s="17"/>
      <c r="AA221" s="17"/>
      <c r="AB221" s="17" t="s">
        <v>49</v>
      </c>
      <c r="AC221" s="17"/>
      <c r="AD221" s="17" t="s">
        <v>50</v>
      </c>
      <c r="AE221" s="17"/>
      <c r="AF221" s="17"/>
      <c r="AG221" s="17"/>
      <c r="AH221" s="17"/>
      <c r="AI221" s="17"/>
      <c r="AJ221" s="17"/>
      <c r="AK221" s="29"/>
    </row>
    <row r="222" spans="1:37" ht="9.9499999999999993">
      <c r="A222" s="29">
        <v>46266</v>
      </c>
      <c r="B222" s="22">
        <v>3392986</v>
      </c>
      <c r="C222" s="17" t="s">
        <v>213</v>
      </c>
      <c r="D222" s="17" t="s">
        <v>38</v>
      </c>
      <c r="E222" s="17" t="s">
        <v>38</v>
      </c>
      <c r="F222" s="17"/>
      <c r="G222" s="17" t="str">
        <f>Table1[[#This Row],[DESCRIPCION_POSICION]]</f>
        <v>Recorredor Especializado</v>
      </c>
      <c r="H222" s="51" t="s">
        <v>645</v>
      </c>
      <c r="I222" s="17" t="s">
        <v>40</v>
      </c>
      <c r="J222" s="17" t="s">
        <v>68</v>
      </c>
      <c r="K222" s="17" t="s">
        <v>86</v>
      </c>
      <c r="L222" s="36" t="s">
        <v>635</v>
      </c>
      <c r="M222" s="103"/>
      <c r="N222" s="38" t="s">
        <v>646</v>
      </c>
      <c r="O222" s="36" t="str">
        <f>VLOOKUP(L222,CECOs!A:B,2,0)</f>
        <v>Oper campo FP</v>
      </c>
      <c r="P222" s="17" t="str">
        <f>VLOOKUP(B:B,CECOs!G:I,3,FALSE)</f>
        <v>OperadordeCampo</v>
      </c>
      <c r="Q222" s="17" t="str">
        <f>IF(_xlfn.XLOOKUP(L222,CECOs!A:A,CECOs!C:C,"")="",K222,_xlfn.XLOOKUP(L222,CECOs!A:A,CECOs!C:C,""))</f>
        <v>HUARTE, ESTEBAN</v>
      </c>
      <c r="R222" s="17" t="s">
        <v>38</v>
      </c>
      <c r="S222" s="17" t="s">
        <v>45</v>
      </c>
      <c r="T222" s="17" t="s">
        <v>61</v>
      </c>
      <c r="U222" s="17" t="s">
        <v>217</v>
      </c>
      <c r="V222" s="17" t="s">
        <v>95</v>
      </c>
      <c r="W222" s="17"/>
      <c r="X222" s="17"/>
      <c r="Y222" s="17"/>
      <c r="Z222" s="17"/>
      <c r="AA222" s="17"/>
      <c r="AB222" s="17" t="s">
        <v>49</v>
      </c>
      <c r="AC222" s="17"/>
      <c r="AD222" s="17" t="s">
        <v>50</v>
      </c>
      <c r="AE222" s="17"/>
      <c r="AF222" s="17"/>
      <c r="AG222" s="17"/>
      <c r="AH222" s="17"/>
      <c r="AI222" s="17"/>
      <c r="AJ222" s="17"/>
      <c r="AK222" s="29"/>
    </row>
    <row r="223" spans="1:37" ht="9.9499999999999993">
      <c r="A223" s="29">
        <v>46266</v>
      </c>
      <c r="B223" s="22">
        <v>3392987</v>
      </c>
      <c r="C223" s="17" t="s">
        <v>213</v>
      </c>
      <c r="D223" s="17" t="s">
        <v>38</v>
      </c>
      <c r="E223" s="17" t="s">
        <v>38</v>
      </c>
      <c r="F223" s="17"/>
      <c r="G223" s="17" t="str">
        <f>Table1[[#This Row],[DESCRIPCION_POSICION]]</f>
        <v>Recorredor Especializado</v>
      </c>
      <c r="H223" s="17" t="s">
        <v>647</v>
      </c>
      <c r="I223" s="17" t="s">
        <v>40</v>
      </c>
      <c r="J223" s="17" t="s">
        <v>68</v>
      </c>
      <c r="K223" s="17" t="s">
        <v>86</v>
      </c>
      <c r="L223" s="36" t="s">
        <v>635</v>
      </c>
      <c r="M223" s="103"/>
      <c r="N223" s="38" t="s">
        <v>648</v>
      </c>
      <c r="O223" s="36" t="str">
        <f>VLOOKUP(L223,CECOs!A:B,2,0)</f>
        <v>Oper campo FP</v>
      </c>
      <c r="P223" s="17" t="str">
        <f>VLOOKUP(B:B,CECOs!G:I,3,FALSE)</f>
        <v>OperadordeCampo</v>
      </c>
      <c r="Q223" s="17" t="str">
        <f>IF(_xlfn.XLOOKUP(L223,CECOs!A:A,CECOs!C:C,"")="",K223,_xlfn.XLOOKUP(L223,CECOs!A:A,CECOs!C:C,""))</f>
        <v>HUARTE, ESTEBAN</v>
      </c>
      <c r="R223" s="17" t="s">
        <v>38</v>
      </c>
      <c r="S223" s="17" t="s">
        <v>45</v>
      </c>
      <c r="T223" s="17" t="s">
        <v>61</v>
      </c>
      <c r="U223" s="17" t="s">
        <v>217</v>
      </c>
      <c r="V223" s="17" t="s">
        <v>95</v>
      </c>
      <c r="W223" s="17"/>
      <c r="X223" s="17"/>
      <c r="Y223" s="17"/>
      <c r="Z223" s="17"/>
      <c r="AA223" s="17"/>
      <c r="AB223" s="17" t="s">
        <v>49</v>
      </c>
      <c r="AC223" s="17"/>
      <c r="AD223" s="17" t="s">
        <v>50</v>
      </c>
      <c r="AE223" s="17"/>
      <c r="AF223" s="17"/>
      <c r="AG223" s="17"/>
      <c r="AH223" s="17"/>
      <c r="AI223" s="17"/>
      <c r="AJ223" s="17"/>
      <c r="AK223" s="29"/>
    </row>
    <row r="224" spans="1:37" ht="9.9499999999999993">
      <c r="A224" s="29">
        <v>46266</v>
      </c>
      <c r="B224" s="22">
        <v>3392988</v>
      </c>
      <c r="C224" s="17" t="s">
        <v>213</v>
      </c>
      <c r="D224" s="17" t="s">
        <v>38</v>
      </c>
      <c r="E224" s="17" t="s">
        <v>38</v>
      </c>
      <c r="F224" s="17"/>
      <c r="G224" s="17" t="str">
        <f>Table1[[#This Row],[DESCRIPCION_POSICION]]</f>
        <v>Recorredor Especializado</v>
      </c>
      <c r="H224" s="17" t="s">
        <v>649</v>
      </c>
      <c r="I224" s="17" t="s">
        <v>40</v>
      </c>
      <c r="J224" s="17" t="s">
        <v>68</v>
      </c>
      <c r="K224" s="17" t="s">
        <v>86</v>
      </c>
      <c r="L224" s="36" t="s">
        <v>635</v>
      </c>
      <c r="M224" s="103"/>
      <c r="N224" s="38" t="s">
        <v>650</v>
      </c>
      <c r="O224" s="36" t="str">
        <f>VLOOKUP(L224,CECOs!A:B,2,0)</f>
        <v>Oper campo FP</v>
      </c>
      <c r="P224" s="17" t="str">
        <f>VLOOKUP(B:B,CECOs!G:I,3,FALSE)</f>
        <v>Mecánicos,engraseyflota</v>
      </c>
      <c r="Q224" s="17" t="str">
        <f>IF(_xlfn.XLOOKUP(L224,CECOs!A:A,CECOs!C:C,"")="",K224,_xlfn.XLOOKUP(L224,CECOs!A:A,CECOs!C:C,""))</f>
        <v>HUARTE, ESTEBAN</v>
      </c>
      <c r="R224" s="17" t="s">
        <v>38</v>
      </c>
      <c r="S224" s="17" t="s">
        <v>45</v>
      </c>
      <c r="T224" s="17">
        <v>1016735</v>
      </c>
      <c r="U224" s="17" t="s">
        <v>217</v>
      </c>
      <c r="V224" s="17" t="s">
        <v>95</v>
      </c>
      <c r="W224" s="17"/>
      <c r="X224" s="17"/>
      <c r="Y224" s="17"/>
      <c r="Z224" s="17"/>
      <c r="AA224" s="17"/>
      <c r="AB224" s="17" t="s">
        <v>49</v>
      </c>
      <c r="AC224" s="17"/>
      <c r="AD224" s="17" t="s">
        <v>50</v>
      </c>
      <c r="AE224" s="17"/>
      <c r="AF224" s="17"/>
      <c r="AG224" s="17"/>
      <c r="AH224" s="17"/>
      <c r="AI224" s="17"/>
      <c r="AJ224" s="17"/>
      <c r="AK224" s="29"/>
    </row>
    <row r="225" spans="1:37" ht="9.9499999999999993">
      <c r="A225" s="29">
        <v>46266</v>
      </c>
      <c r="B225" s="22">
        <v>3392989</v>
      </c>
      <c r="C225" s="17" t="s">
        <v>213</v>
      </c>
      <c r="D225" s="17" t="s">
        <v>38</v>
      </c>
      <c r="E225" s="17" t="s">
        <v>38</v>
      </c>
      <c r="F225" s="17"/>
      <c r="G225" s="17" t="str">
        <f>Table1[[#This Row],[DESCRIPCION_POSICION]]</f>
        <v>Recorredor Especializado</v>
      </c>
      <c r="H225" s="17" t="s">
        <v>651</v>
      </c>
      <c r="I225" s="17" t="s">
        <v>40</v>
      </c>
      <c r="J225" s="17" t="s">
        <v>68</v>
      </c>
      <c r="K225" s="17" t="s">
        <v>86</v>
      </c>
      <c r="L225" s="36" t="s">
        <v>635</v>
      </c>
      <c r="M225" s="103"/>
      <c r="N225" s="38" t="s">
        <v>652</v>
      </c>
      <c r="O225" s="36" t="str">
        <f>VLOOKUP(L225,CECOs!A:B,2,0)</f>
        <v>Oper campo FP</v>
      </c>
      <c r="P225" s="17" t="str">
        <f>VLOOKUP(B:B,CECOs!G:I,3,FALSE)</f>
        <v>OperadordeCampo</v>
      </c>
      <c r="Q225" s="17" t="str">
        <f>IF(_xlfn.XLOOKUP(L225,CECOs!A:A,CECOs!C:C,"")="",K225,_xlfn.XLOOKUP(L225,CECOs!A:A,CECOs!C:C,""))</f>
        <v>HUARTE, ESTEBAN</v>
      </c>
      <c r="R225" s="17" t="s">
        <v>38</v>
      </c>
      <c r="S225" s="17" t="s">
        <v>45</v>
      </c>
      <c r="T225" s="17" t="s">
        <v>61</v>
      </c>
      <c r="U225" s="17" t="s">
        <v>217</v>
      </c>
      <c r="V225" s="17" t="s">
        <v>95</v>
      </c>
      <c r="W225" s="17"/>
      <c r="X225" s="17"/>
      <c r="Y225" s="17"/>
      <c r="Z225" s="17"/>
      <c r="AA225" s="17"/>
      <c r="AB225" s="17" t="s">
        <v>49</v>
      </c>
      <c r="AC225" s="17"/>
      <c r="AD225" s="17" t="s">
        <v>50</v>
      </c>
      <c r="AE225" s="17"/>
      <c r="AF225" s="17"/>
      <c r="AG225" s="17"/>
      <c r="AH225" s="17"/>
      <c r="AI225" s="17"/>
      <c r="AJ225" s="17"/>
      <c r="AK225" s="29"/>
    </row>
    <row r="226" spans="1:37" ht="9.9499999999999993">
      <c r="A226" s="29">
        <v>46266</v>
      </c>
      <c r="B226" s="22">
        <v>3392990</v>
      </c>
      <c r="C226" s="17" t="s">
        <v>213</v>
      </c>
      <c r="D226" s="17" t="s">
        <v>38</v>
      </c>
      <c r="E226" s="17" t="s">
        <v>38</v>
      </c>
      <c r="F226" s="17"/>
      <c r="G226" s="17" t="str">
        <f>Table1[[#This Row],[DESCRIPCION_POSICION]]</f>
        <v>Recorredor Especializado</v>
      </c>
      <c r="H226" s="17" t="s">
        <v>653</v>
      </c>
      <c r="I226" s="17" t="s">
        <v>40</v>
      </c>
      <c r="J226" s="17" t="s">
        <v>68</v>
      </c>
      <c r="K226" s="17" t="s">
        <v>86</v>
      </c>
      <c r="L226" s="36" t="s">
        <v>635</v>
      </c>
      <c r="M226" s="103"/>
      <c r="N226" s="38" t="s">
        <v>654</v>
      </c>
      <c r="O226" s="36" t="str">
        <f>VLOOKUP(L226,CECOs!A:B,2,0)</f>
        <v>Oper campo FP</v>
      </c>
      <c r="P226" s="17" t="str">
        <f>VLOOKUP(B:B,CECOs!G:I,3,FALSE)</f>
        <v>Relevooperación</v>
      </c>
      <c r="Q226" s="17" t="str">
        <f>IF(_xlfn.XLOOKUP(L226,CECOs!A:A,CECOs!C:C,"")="",K226,_xlfn.XLOOKUP(L226,CECOs!A:A,CECOs!C:C,""))</f>
        <v>HUARTE, ESTEBAN</v>
      </c>
      <c r="R226" s="17" t="s">
        <v>38</v>
      </c>
      <c r="S226" s="17" t="s">
        <v>45</v>
      </c>
      <c r="T226" s="17" t="s">
        <v>61</v>
      </c>
      <c r="U226" s="17" t="s">
        <v>217</v>
      </c>
      <c r="V226" s="17" t="s">
        <v>95</v>
      </c>
      <c r="W226" s="17"/>
      <c r="X226" s="17"/>
      <c r="Y226" s="17"/>
      <c r="Z226" s="17"/>
      <c r="AA226" s="17"/>
      <c r="AB226" s="17" t="s">
        <v>49</v>
      </c>
      <c r="AC226" s="17"/>
      <c r="AD226" s="17" t="s">
        <v>50</v>
      </c>
      <c r="AE226" s="17"/>
      <c r="AF226" s="17"/>
      <c r="AG226" s="17"/>
      <c r="AH226" s="17"/>
      <c r="AI226" s="17"/>
      <c r="AJ226" s="17"/>
      <c r="AK226" s="29"/>
    </row>
    <row r="227" spans="1:37" ht="9.9499999999999993">
      <c r="A227" s="29">
        <v>46266</v>
      </c>
      <c r="B227" s="22">
        <v>3392991</v>
      </c>
      <c r="C227" s="17" t="s">
        <v>383</v>
      </c>
      <c r="D227" s="17" t="s">
        <v>38</v>
      </c>
      <c r="E227" s="17" t="s">
        <v>38</v>
      </c>
      <c r="F227" s="17"/>
      <c r="G227" s="17" t="str">
        <f>Table1[[#This Row],[DESCRIPCION_POSICION]]</f>
        <v>Recorredor</v>
      </c>
      <c r="H227" s="17" t="s">
        <v>655</v>
      </c>
      <c r="I227" s="17" t="s">
        <v>40</v>
      </c>
      <c r="J227" s="17" t="s">
        <v>68</v>
      </c>
      <c r="K227" s="17" t="s">
        <v>86</v>
      </c>
      <c r="L227" s="36" t="s">
        <v>635</v>
      </c>
      <c r="M227" s="103"/>
      <c r="N227" s="38" t="s">
        <v>656</v>
      </c>
      <c r="O227" s="36" t="str">
        <f>VLOOKUP(L227,CECOs!A:B,2,0)</f>
        <v>Oper campo FP</v>
      </c>
      <c r="P227" s="17" t="str">
        <f>VLOOKUP(B:B,CECOs!G:I,3,FALSE)</f>
        <v>OperadordeCampo</v>
      </c>
      <c r="Q227" s="17" t="str">
        <f>IF(_xlfn.XLOOKUP(L227,CECOs!A:A,CECOs!C:C,"")="",K227,_xlfn.XLOOKUP(L227,CECOs!A:A,CECOs!C:C,""))</f>
        <v>HUARTE, ESTEBAN</v>
      </c>
      <c r="R227" s="17" t="s">
        <v>38</v>
      </c>
      <c r="S227" s="17" t="s">
        <v>45</v>
      </c>
      <c r="T227" s="17" t="s">
        <v>61</v>
      </c>
      <c r="U227" s="17" t="s">
        <v>217</v>
      </c>
      <c r="V227" s="17" t="s">
        <v>95</v>
      </c>
      <c r="W227" s="17"/>
      <c r="X227" s="17"/>
      <c r="Y227" s="17"/>
      <c r="Z227" s="17"/>
      <c r="AA227" s="17"/>
      <c r="AB227" s="17" t="s">
        <v>49</v>
      </c>
      <c r="AC227" s="17"/>
      <c r="AD227" s="17" t="s">
        <v>50</v>
      </c>
      <c r="AE227" s="17"/>
      <c r="AF227" s="17"/>
      <c r="AG227" s="17"/>
      <c r="AH227" s="17"/>
      <c r="AI227" s="17"/>
      <c r="AJ227" s="17"/>
      <c r="AK227" s="29"/>
    </row>
    <row r="228" spans="1:37" ht="9.9499999999999993">
      <c r="A228" s="29">
        <v>46266</v>
      </c>
      <c r="B228" s="22">
        <v>3392992</v>
      </c>
      <c r="C228" s="17" t="s">
        <v>213</v>
      </c>
      <c r="D228" s="17" t="s">
        <v>38</v>
      </c>
      <c r="E228" s="17" t="s">
        <v>38</v>
      </c>
      <c r="F228" s="17"/>
      <c r="G228" s="17" t="str">
        <f>Table1[[#This Row],[DESCRIPCION_POSICION]]</f>
        <v>Recorredor Especializado</v>
      </c>
      <c r="H228" s="22" t="s">
        <v>657</v>
      </c>
      <c r="I228" s="17" t="s">
        <v>40</v>
      </c>
      <c r="J228" s="17" t="s">
        <v>68</v>
      </c>
      <c r="K228" s="17" t="s">
        <v>86</v>
      </c>
      <c r="L228" s="36" t="s">
        <v>635</v>
      </c>
      <c r="M228" s="103"/>
      <c r="N228" s="37" t="s">
        <v>658</v>
      </c>
      <c r="O228" s="36" t="str">
        <f>VLOOKUP(L228,CECOs!A:B,2,0)</f>
        <v>Oper campo FP</v>
      </c>
      <c r="P228" s="17" t="str">
        <f>VLOOKUP(B:B,CECOs!G:I,3,FALSE)</f>
        <v>OperadordeCampo</v>
      </c>
      <c r="Q228" s="17" t="str">
        <f>IF(_xlfn.XLOOKUP(L228,CECOs!A:A,CECOs!C:C,"")="",K228,_xlfn.XLOOKUP(L228,CECOs!A:A,CECOs!C:C,""))</f>
        <v>HUARTE, ESTEBAN</v>
      </c>
      <c r="R228" s="17" t="s">
        <v>38</v>
      </c>
      <c r="S228" s="17" t="s">
        <v>45</v>
      </c>
      <c r="T228" s="17" t="s">
        <v>61</v>
      </c>
      <c r="U228" s="17" t="s">
        <v>217</v>
      </c>
      <c r="V228" s="17" t="s">
        <v>95</v>
      </c>
      <c r="W228" s="17"/>
      <c r="X228" s="17"/>
      <c r="Y228" s="17"/>
      <c r="Z228" s="17"/>
      <c r="AA228" s="17"/>
      <c r="AB228" s="17" t="s">
        <v>49</v>
      </c>
      <c r="AC228" s="17"/>
      <c r="AD228" s="17" t="s">
        <v>50</v>
      </c>
      <c r="AE228" s="17"/>
      <c r="AF228" s="17"/>
      <c r="AG228" s="17"/>
      <c r="AH228" s="17"/>
      <c r="AI228" s="17"/>
      <c r="AJ228" s="17"/>
      <c r="AK228" s="29"/>
    </row>
    <row r="229" spans="1:37" ht="9.9499999999999993">
      <c r="A229" s="29">
        <v>46266</v>
      </c>
      <c r="B229" s="22">
        <v>3392993</v>
      </c>
      <c r="C229" s="17" t="s">
        <v>213</v>
      </c>
      <c r="D229" s="17" t="s">
        <v>38</v>
      </c>
      <c r="E229" s="17" t="s">
        <v>38</v>
      </c>
      <c r="F229" s="17"/>
      <c r="G229" s="17" t="str">
        <f>Table1[[#This Row],[DESCRIPCION_POSICION]]</f>
        <v>Recorredor Especializado</v>
      </c>
      <c r="H229" s="17" t="s">
        <v>659</v>
      </c>
      <c r="I229" s="17" t="s">
        <v>40</v>
      </c>
      <c r="J229" s="17" t="s">
        <v>68</v>
      </c>
      <c r="K229" s="17" t="s">
        <v>86</v>
      </c>
      <c r="L229" s="36" t="s">
        <v>635</v>
      </c>
      <c r="M229" s="103"/>
      <c r="N229" s="38" t="s">
        <v>660</v>
      </c>
      <c r="O229" s="36" t="str">
        <f>VLOOKUP(L229,CECOs!A:B,2,0)</f>
        <v>Oper campo FP</v>
      </c>
      <c r="P229" s="17" t="str">
        <f>VLOOKUP(B:B,CECOs!G:I,3,FALSE)</f>
        <v>OperadordeCampo</v>
      </c>
      <c r="Q229" s="17" t="str">
        <f>IF(_xlfn.XLOOKUP(L229,CECOs!A:A,CECOs!C:C,"")="",K229,_xlfn.XLOOKUP(L229,CECOs!A:A,CECOs!C:C,""))</f>
        <v>HUARTE, ESTEBAN</v>
      </c>
      <c r="R229" s="17" t="s">
        <v>38</v>
      </c>
      <c r="S229" s="17" t="s">
        <v>45</v>
      </c>
      <c r="T229" s="17" t="s">
        <v>61</v>
      </c>
      <c r="U229" s="17" t="s">
        <v>217</v>
      </c>
      <c r="V229" s="17" t="s">
        <v>95</v>
      </c>
      <c r="W229" s="17"/>
      <c r="X229" s="17"/>
      <c r="Y229" s="17"/>
      <c r="Z229" s="17"/>
      <c r="AA229" s="17"/>
      <c r="AB229" s="17" t="s">
        <v>49</v>
      </c>
      <c r="AC229" s="17"/>
      <c r="AD229" s="17" t="s">
        <v>50</v>
      </c>
      <c r="AE229" s="17"/>
      <c r="AF229" s="17"/>
      <c r="AG229" s="17"/>
      <c r="AH229" s="17"/>
      <c r="AI229" s="17"/>
      <c r="AJ229" s="17"/>
      <c r="AK229" s="29"/>
    </row>
    <row r="230" spans="1:37" ht="9.9499999999999993">
      <c r="A230" s="29">
        <v>46266</v>
      </c>
      <c r="B230" s="22">
        <v>3392994</v>
      </c>
      <c r="C230" s="17" t="s">
        <v>213</v>
      </c>
      <c r="D230" s="17" t="s">
        <v>38</v>
      </c>
      <c r="E230" s="17" t="s">
        <v>38</v>
      </c>
      <c r="F230" s="17"/>
      <c r="G230" s="17" t="str">
        <f>Table1[[#This Row],[DESCRIPCION_POSICION]]</f>
        <v>Recorredor Especializado</v>
      </c>
      <c r="H230" s="22" t="s">
        <v>661</v>
      </c>
      <c r="I230" s="17" t="s">
        <v>40</v>
      </c>
      <c r="J230" s="17" t="s">
        <v>68</v>
      </c>
      <c r="K230" s="17" t="s">
        <v>86</v>
      </c>
      <c r="L230" s="36" t="s">
        <v>635</v>
      </c>
      <c r="M230" s="103"/>
      <c r="N230" s="37" t="s">
        <v>662</v>
      </c>
      <c r="O230" s="36" t="str">
        <f>VLOOKUP(L230,CECOs!A:B,2,0)</f>
        <v>Oper campo FP</v>
      </c>
      <c r="P230" s="17" t="str">
        <f>VLOOKUP(B:B,CECOs!G:I,3,FALSE)</f>
        <v>OperadordeCampo</v>
      </c>
      <c r="Q230" s="17" t="str">
        <f>IF(_xlfn.XLOOKUP(L230,CECOs!A:A,CECOs!C:C,"")="",K230,_xlfn.XLOOKUP(L230,CECOs!A:A,CECOs!C:C,""))</f>
        <v>HUARTE, ESTEBAN</v>
      </c>
      <c r="R230" s="17" t="s">
        <v>38</v>
      </c>
      <c r="S230" s="17" t="s">
        <v>45</v>
      </c>
      <c r="T230" s="17" t="s">
        <v>61</v>
      </c>
      <c r="U230" s="17" t="s">
        <v>217</v>
      </c>
      <c r="V230" s="17" t="s">
        <v>95</v>
      </c>
      <c r="W230" s="17"/>
      <c r="X230" s="17"/>
      <c r="Y230" s="17"/>
      <c r="Z230" s="17"/>
      <c r="AA230" s="17"/>
      <c r="AB230" s="17" t="s">
        <v>49</v>
      </c>
      <c r="AC230" s="17"/>
      <c r="AD230" s="17" t="s">
        <v>50</v>
      </c>
      <c r="AE230" s="17"/>
      <c r="AF230" s="17"/>
      <c r="AG230" s="17"/>
      <c r="AH230" s="17"/>
      <c r="AI230" s="17"/>
      <c r="AJ230" s="17"/>
      <c r="AK230" s="29"/>
    </row>
    <row r="231" spans="1:37" ht="9.9499999999999993">
      <c r="A231" s="29">
        <v>46266</v>
      </c>
      <c r="B231" s="22">
        <v>3392995</v>
      </c>
      <c r="C231" s="17" t="s">
        <v>213</v>
      </c>
      <c r="D231" s="17" t="s">
        <v>38</v>
      </c>
      <c r="E231" s="17" t="s">
        <v>38</v>
      </c>
      <c r="F231" s="17"/>
      <c r="G231" s="17" t="str">
        <f>Table1[[#This Row],[DESCRIPCION_POSICION]]</f>
        <v>Recorredor Especializado</v>
      </c>
      <c r="H231" s="17" t="s">
        <v>663</v>
      </c>
      <c r="I231" s="17" t="s">
        <v>40</v>
      </c>
      <c r="J231" s="17" t="s">
        <v>68</v>
      </c>
      <c r="K231" s="17" t="s">
        <v>86</v>
      </c>
      <c r="L231" s="36" t="s">
        <v>635</v>
      </c>
      <c r="M231" s="103"/>
      <c r="N231" s="38" t="s">
        <v>664</v>
      </c>
      <c r="O231" s="36" t="str">
        <f>VLOOKUP(L231,CECOs!A:B,2,0)</f>
        <v>Oper campo FP</v>
      </c>
      <c r="P231" s="17" t="str">
        <f>VLOOKUP(B:B,CECOs!G:I,3,FALSE)</f>
        <v>OperadordeCampo</v>
      </c>
      <c r="Q231" s="17" t="str">
        <f>IF(_xlfn.XLOOKUP(L231,CECOs!A:A,CECOs!C:C,"")="",K231,_xlfn.XLOOKUP(L231,CECOs!A:A,CECOs!C:C,""))</f>
        <v>HUARTE, ESTEBAN</v>
      </c>
      <c r="R231" s="17" t="s">
        <v>38</v>
      </c>
      <c r="S231" s="17" t="s">
        <v>45</v>
      </c>
      <c r="T231" s="17" t="s">
        <v>61</v>
      </c>
      <c r="U231" s="17" t="s">
        <v>217</v>
      </c>
      <c r="V231" s="17" t="s">
        <v>95</v>
      </c>
      <c r="W231" s="17"/>
      <c r="X231" s="17"/>
      <c r="Y231" s="17"/>
      <c r="Z231" s="17"/>
      <c r="AA231" s="17"/>
      <c r="AB231" s="17" t="s">
        <v>49</v>
      </c>
      <c r="AC231" s="17"/>
      <c r="AD231" s="17" t="s">
        <v>50</v>
      </c>
      <c r="AE231" s="17"/>
      <c r="AF231" s="17"/>
      <c r="AG231" s="17"/>
      <c r="AH231" s="17"/>
      <c r="AI231" s="17"/>
      <c r="AJ231" s="17"/>
      <c r="AK231" s="29"/>
    </row>
    <row r="232" spans="1:37" ht="9.9499999999999993">
      <c r="A232" s="29">
        <v>46266</v>
      </c>
      <c r="B232" s="22">
        <v>3392996</v>
      </c>
      <c r="C232" s="17" t="s">
        <v>383</v>
      </c>
      <c r="D232" s="17" t="s">
        <v>38</v>
      </c>
      <c r="E232" s="17" t="s">
        <v>38</v>
      </c>
      <c r="F232" s="17"/>
      <c r="G232" s="17" t="str">
        <f>Table1[[#This Row],[DESCRIPCION_POSICION]]</f>
        <v>Recorredor</v>
      </c>
      <c r="H232" s="22" t="s">
        <v>665</v>
      </c>
      <c r="I232" s="17" t="s">
        <v>40</v>
      </c>
      <c r="J232" s="17" t="s">
        <v>68</v>
      </c>
      <c r="K232" s="17" t="s">
        <v>86</v>
      </c>
      <c r="L232" s="36" t="s">
        <v>635</v>
      </c>
      <c r="M232" s="103"/>
      <c r="N232" s="37" t="s">
        <v>666</v>
      </c>
      <c r="O232" s="36" t="str">
        <f>VLOOKUP(L232,CECOs!A:B,2,0)</f>
        <v>Oper campo FP</v>
      </c>
      <c r="P232" s="17" t="str">
        <f>VLOOKUP(B:B,CECOs!G:I,3,FALSE)</f>
        <v>OperadordeCampo</v>
      </c>
      <c r="Q232" s="17" t="str">
        <f>IF(_xlfn.XLOOKUP(L232,CECOs!A:A,CECOs!C:C,"")="",K232,_xlfn.XLOOKUP(L232,CECOs!A:A,CECOs!C:C,""))</f>
        <v>HUARTE, ESTEBAN</v>
      </c>
      <c r="R232" s="17" t="s">
        <v>38</v>
      </c>
      <c r="S232" s="17" t="s">
        <v>45</v>
      </c>
      <c r="T232" s="17" t="s">
        <v>61</v>
      </c>
      <c r="U232" s="17" t="s">
        <v>217</v>
      </c>
      <c r="V232" s="17" t="s">
        <v>95</v>
      </c>
      <c r="W232" s="17"/>
      <c r="X232" s="17"/>
      <c r="Y232" s="17"/>
      <c r="Z232" s="17"/>
      <c r="AA232" s="17"/>
      <c r="AB232" s="17" t="s">
        <v>49</v>
      </c>
      <c r="AC232" s="17"/>
      <c r="AD232" s="17" t="s">
        <v>50</v>
      </c>
      <c r="AE232" s="17"/>
      <c r="AF232" s="17"/>
      <c r="AG232" s="17"/>
      <c r="AH232" s="17"/>
      <c r="AI232" s="17"/>
      <c r="AJ232" s="17"/>
      <c r="AK232" s="29"/>
    </row>
    <row r="233" spans="1:37" ht="9.9499999999999993">
      <c r="A233" s="29">
        <v>46266</v>
      </c>
      <c r="B233" s="22">
        <v>3392997</v>
      </c>
      <c r="C233" s="17" t="s">
        <v>667</v>
      </c>
      <c r="D233" s="17" t="s">
        <v>38</v>
      </c>
      <c r="E233" s="17" t="s">
        <v>38</v>
      </c>
      <c r="F233" s="17"/>
      <c r="G233" s="17" t="str">
        <f>Table1[[#This Row],[DESCRIPCION_POSICION]]</f>
        <v>Ayudante de Recorredor</v>
      </c>
      <c r="H233" s="17" t="s">
        <v>668</v>
      </c>
      <c r="I233" s="17" t="s">
        <v>40</v>
      </c>
      <c r="J233" s="17" t="s">
        <v>68</v>
      </c>
      <c r="K233" s="17" t="s">
        <v>86</v>
      </c>
      <c r="L233" s="36" t="s">
        <v>635</v>
      </c>
      <c r="M233" s="103"/>
      <c r="N233" s="38" t="s">
        <v>669</v>
      </c>
      <c r="O233" s="36" t="str">
        <f>VLOOKUP(L233,CECOs!A:B,2,0)</f>
        <v>Oper campo FP</v>
      </c>
      <c r="P233" s="17" t="str">
        <f>VLOOKUP(B:B,CECOs!G:I,3,FALSE)</f>
        <v>OperadordeCampo</v>
      </c>
      <c r="Q233" s="17" t="str">
        <f>IF(_xlfn.XLOOKUP(L233,CECOs!A:A,CECOs!C:C,"")="",K233,_xlfn.XLOOKUP(L233,CECOs!A:A,CECOs!C:C,""))</f>
        <v>HUARTE, ESTEBAN</v>
      </c>
      <c r="R233" s="17" t="s">
        <v>38</v>
      </c>
      <c r="S233" s="17" t="s">
        <v>45</v>
      </c>
      <c r="T233" s="17" t="s">
        <v>61</v>
      </c>
      <c r="U233" s="17" t="s">
        <v>217</v>
      </c>
      <c r="V233" s="17" t="s">
        <v>95</v>
      </c>
      <c r="W233" s="17"/>
      <c r="X233" s="17"/>
      <c r="Y233" s="17"/>
      <c r="Z233" s="17"/>
      <c r="AA233" s="17"/>
      <c r="AB233" s="17" t="s">
        <v>49</v>
      </c>
      <c r="AC233" s="17"/>
      <c r="AD233" s="17" t="s">
        <v>50</v>
      </c>
      <c r="AE233" s="17"/>
      <c r="AF233" s="17"/>
      <c r="AG233" s="17"/>
      <c r="AH233" s="17"/>
      <c r="AI233" s="17"/>
      <c r="AJ233" s="17"/>
      <c r="AK233" s="29"/>
    </row>
    <row r="234" spans="1:37" ht="9.9499999999999993">
      <c r="A234" s="29">
        <v>46266</v>
      </c>
      <c r="B234" s="22">
        <v>3392998</v>
      </c>
      <c r="C234" s="17" t="s">
        <v>328</v>
      </c>
      <c r="D234" s="17" t="s">
        <v>38</v>
      </c>
      <c r="E234" s="17" t="s">
        <v>38</v>
      </c>
      <c r="F234" s="17"/>
      <c r="G234" s="17" t="str">
        <f>Table1[[#This Row],[DESCRIPCION_POSICION]]</f>
        <v>Operador Especializado Semi Jr. Plantas</v>
      </c>
      <c r="H234" s="22" t="s">
        <v>670</v>
      </c>
      <c r="I234" s="17" t="s">
        <v>40</v>
      </c>
      <c r="J234" s="17" t="s">
        <v>68</v>
      </c>
      <c r="K234" s="17" t="s">
        <v>80</v>
      </c>
      <c r="L234" s="36" t="s">
        <v>671</v>
      </c>
      <c r="M234" s="103"/>
      <c r="N234" s="37" t="s">
        <v>672</v>
      </c>
      <c r="O234" s="36" t="str">
        <f>VLOOKUP(L234,CECOs!A:B,2,0)</f>
        <v>Almacenamiento de Agua FP</v>
      </c>
      <c r="P234" s="17" t="str">
        <f>VLOOKUP(B:B,CECOs!G:I,3,FALSE)</f>
        <v>OperadordePlantadeAguaWatertransfer</v>
      </c>
      <c r="Q234" s="17" t="str">
        <f>IF(_xlfn.XLOOKUP(L234,CECOs!A:A,CECOs!C:C,"")="",K234,_xlfn.XLOOKUP(L234,CECOs!A:A,CECOs!C:C,""))</f>
        <v>HUARTE, ESTEBAN</v>
      </c>
      <c r="R234" s="17" t="s">
        <v>38</v>
      </c>
      <c r="S234" s="17" t="s">
        <v>45</v>
      </c>
      <c r="T234" s="17" t="s">
        <v>61</v>
      </c>
      <c r="U234" s="17" t="s">
        <v>217</v>
      </c>
      <c r="V234" s="17" t="s">
        <v>95</v>
      </c>
      <c r="W234" s="17"/>
      <c r="X234" s="17"/>
      <c r="Y234" s="17"/>
      <c r="Z234" s="17"/>
      <c r="AA234" s="17"/>
      <c r="AB234" s="17" t="s">
        <v>49</v>
      </c>
      <c r="AC234" s="17"/>
      <c r="AD234" s="17" t="s">
        <v>50</v>
      </c>
      <c r="AE234" s="17"/>
      <c r="AF234" s="17"/>
      <c r="AG234" s="17"/>
      <c r="AH234" s="17"/>
      <c r="AI234" s="17"/>
      <c r="AJ234" s="17"/>
      <c r="AK234" s="29"/>
    </row>
    <row r="235" spans="1:37" ht="9.9499999999999993">
      <c r="A235" s="29">
        <v>46266</v>
      </c>
      <c r="B235" s="22">
        <v>3392999</v>
      </c>
      <c r="C235" s="17" t="s">
        <v>328</v>
      </c>
      <c r="D235" s="17" t="s">
        <v>38</v>
      </c>
      <c r="E235" s="17" t="s">
        <v>38</v>
      </c>
      <c r="F235" s="17"/>
      <c r="G235" s="17" t="str">
        <f>Table1[[#This Row],[DESCRIPCION_POSICION]]</f>
        <v>Operador Especializado Semi Jr. Plantas</v>
      </c>
      <c r="H235" s="17" t="s">
        <v>673</v>
      </c>
      <c r="I235" s="17" t="s">
        <v>40</v>
      </c>
      <c r="J235" s="17" t="s">
        <v>68</v>
      </c>
      <c r="K235" s="17" t="s">
        <v>80</v>
      </c>
      <c r="L235" s="36" t="s">
        <v>671</v>
      </c>
      <c r="M235" s="103"/>
      <c r="N235" s="38" t="s">
        <v>674</v>
      </c>
      <c r="O235" s="36" t="str">
        <f>VLOOKUP(L235,CECOs!A:B,2,0)</f>
        <v>Almacenamiento de Agua FP</v>
      </c>
      <c r="P235" s="17" t="str">
        <f>VLOOKUP(B:B,CECOs!G:I,3,FALSE)</f>
        <v>OperadordePlantadeAguaWatertransfer</v>
      </c>
      <c r="Q235" s="17" t="str">
        <f>IF(_xlfn.XLOOKUP(L235,CECOs!A:A,CECOs!C:C,"")="",K235,_xlfn.XLOOKUP(L235,CECOs!A:A,CECOs!C:C,""))</f>
        <v>HUARTE, ESTEBAN</v>
      </c>
      <c r="R235" s="17" t="s">
        <v>38</v>
      </c>
      <c r="S235" s="17" t="s">
        <v>45</v>
      </c>
      <c r="T235" s="17" t="s">
        <v>61</v>
      </c>
      <c r="U235" s="17" t="s">
        <v>217</v>
      </c>
      <c r="V235" s="17" t="s">
        <v>95</v>
      </c>
      <c r="W235" s="17"/>
      <c r="X235" s="17"/>
      <c r="Y235" s="17"/>
      <c r="Z235" s="17"/>
      <c r="AA235" s="17"/>
      <c r="AB235" s="17" t="s">
        <v>49</v>
      </c>
      <c r="AC235" s="17"/>
      <c r="AD235" s="17" t="s">
        <v>50</v>
      </c>
      <c r="AE235" s="17"/>
      <c r="AF235" s="17"/>
      <c r="AG235" s="17"/>
      <c r="AH235" s="17"/>
      <c r="AI235" s="17"/>
      <c r="AJ235" s="17"/>
      <c r="AK235" s="29"/>
    </row>
    <row r="236" spans="1:37" ht="9.9499999999999993">
      <c r="A236" s="29">
        <v>46266</v>
      </c>
      <c r="B236" s="22">
        <v>3393000</v>
      </c>
      <c r="C236" s="17" t="s">
        <v>328</v>
      </c>
      <c r="D236" s="17" t="s">
        <v>38</v>
      </c>
      <c r="E236" s="17" t="s">
        <v>38</v>
      </c>
      <c r="F236" s="17"/>
      <c r="G236" s="17" t="str">
        <f>Table1[[#This Row],[DESCRIPCION_POSICION]]</f>
        <v>Operador Especializado Semi Jr. Plantas</v>
      </c>
      <c r="H236" s="17" t="s">
        <v>675</v>
      </c>
      <c r="I236" s="17" t="s">
        <v>40</v>
      </c>
      <c r="J236" s="17" t="s">
        <v>68</v>
      </c>
      <c r="K236" s="17" t="s">
        <v>80</v>
      </c>
      <c r="L236" s="36" t="s">
        <v>671</v>
      </c>
      <c r="M236" s="103"/>
      <c r="N236" s="38" t="s">
        <v>676</v>
      </c>
      <c r="O236" s="36" t="str">
        <f>VLOOKUP(L236,CECOs!A:B,2,0)</f>
        <v>Almacenamiento de Agua FP</v>
      </c>
      <c r="P236" s="17" t="str">
        <f>VLOOKUP(B:B,CECOs!G:I,3,FALSE)</f>
        <v>OperadordePlantadeAguaWatertransfer</v>
      </c>
      <c r="Q236" s="17" t="str">
        <f>IF(_xlfn.XLOOKUP(L236,CECOs!A:A,CECOs!C:C,"")="",K236,_xlfn.XLOOKUP(L236,CECOs!A:A,CECOs!C:C,""))</f>
        <v>HUARTE, ESTEBAN</v>
      </c>
      <c r="R236" s="17" t="s">
        <v>38</v>
      </c>
      <c r="S236" s="17" t="s">
        <v>45</v>
      </c>
      <c r="T236" s="17" t="s">
        <v>61</v>
      </c>
      <c r="U236" s="17" t="s">
        <v>217</v>
      </c>
      <c r="V236" s="17" t="s">
        <v>95</v>
      </c>
      <c r="W236" s="17"/>
      <c r="X236" s="17"/>
      <c r="Y236" s="17"/>
      <c r="Z236" s="17"/>
      <c r="AA236" s="17"/>
      <c r="AB236" s="17" t="s">
        <v>49</v>
      </c>
      <c r="AC236" s="17"/>
      <c r="AD236" s="17" t="s">
        <v>50</v>
      </c>
      <c r="AE236" s="17"/>
      <c r="AF236" s="17"/>
      <c r="AG236" s="17"/>
      <c r="AH236" s="17"/>
      <c r="AI236" s="17"/>
      <c r="AJ236" s="17"/>
      <c r="AK236" s="29"/>
    </row>
    <row r="237" spans="1:37" ht="9.9499999999999993">
      <c r="A237" s="29">
        <v>46266</v>
      </c>
      <c r="B237" s="22">
        <v>3393001</v>
      </c>
      <c r="C237" s="17" t="s">
        <v>328</v>
      </c>
      <c r="D237" s="17" t="s">
        <v>38</v>
      </c>
      <c r="E237" s="17" t="s">
        <v>38</v>
      </c>
      <c r="F237" s="17"/>
      <c r="G237" s="17" t="str">
        <f>Table1[[#This Row],[DESCRIPCION_POSICION]]</f>
        <v>Operador Especializado Semi Jr. Plantas</v>
      </c>
      <c r="H237" s="17" t="s">
        <v>677</v>
      </c>
      <c r="I237" s="17" t="s">
        <v>40</v>
      </c>
      <c r="J237" s="17" t="s">
        <v>68</v>
      </c>
      <c r="K237" s="17" t="s">
        <v>80</v>
      </c>
      <c r="L237" s="36" t="s">
        <v>671</v>
      </c>
      <c r="M237" s="103"/>
      <c r="N237" s="38" t="s">
        <v>678</v>
      </c>
      <c r="O237" s="36" t="str">
        <f>VLOOKUP(L237,CECOs!A:B,2,0)</f>
        <v>Almacenamiento de Agua FP</v>
      </c>
      <c r="P237" s="17" t="str">
        <f>VLOOKUP(B:B,CECOs!G:I,3,FALSE)</f>
        <v>OperadordePlantadeAguaWatertransfer</v>
      </c>
      <c r="Q237" s="17" t="str">
        <f>IF(_xlfn.XLOOKUP(L237,CECOs!A:A,CECOs!C:C,"")="",K237,_xlfn.XLOOKUP(L237,CECOs!A:A,CECOs!C:C,""))</f>
        <v>HUARTE, ESTEBAN</v>
      </c>
      <c r="R237" s="17" t="s">
        <v>38</v>
      </c>
      <c r="S237" s="17" t="s">
        <v>45</v>
      </c>
      <c r="T237" s="17" t="s">
        <v>61</v>
      </c>
      <c r="U237" s="17" t="s">
        <v>217</v>
      </c>
      <c r="V237" s="17" t="s">
        <v>95</v>
      </c>
      <c r="W237" s="17"/>
      <c r="X237" s="17"/>
      <c r="Y237" s="17"/>
      <c r="Z237" s="17"/>
      <c r="AA237" s="17"/>
      <c r="AB237" s="17" t="s">
        <v>49</v>
      </c>
      <c r="AC237" s="17"/>
      <c r="AD237" s="17" t="s">
        <v>50</v>
      </c>
      <c r="AE237" s="17"/>
      <c r="AF237" s="17"/>
      <c r="AG237" s="17"/>
      <c r="AH237" s="17"/>
      <c r="AI237" s="17"/>
      <c r="AJ237" s="17"/>
      <c r="AK237" s="29"/>
    </row>
    <row r="238" spans="1:37" ht="9.9499999999999993">
      <c r="A238" s="29">
        <v>46266</v>
      </c>
      <c r="B238" s="22">
        <v>3393002</v>
      </c>
      <c r="C238" s="17" t="s">
        <v>328</v>
      </c>
      <c r="D238" s="17" t="s">
        <v>38</v>
      </c>
      <c r="E238" s="17" t="s">
        <v>38</v>
      </c>
      <c r="F238" s="17"/>
      <c r="G238" s="17" t="str">
        <f>Table1[[#This Row],[DESCRIPCION_POSICION]]</f>
        <v>Operador Especializado Semi Jr. Plantas</v>
      </c>
      <c r="H238" s="22" t="s">
        <v>679</v>
      </c>
      <c r="I238" s="17" t="s">
        <v>40</v>
      </c>
      <c r="J238" s="17" t="s">
        <v>68</v>
      </c>
      <c r="K238" s="17" t="s">
        <v>80</v>
      </c>
      <c r="L238" s="36" t="s">
        <v>671</v>
      </c>
      <c r="M238" s="103"/>
      <c r="N238" s="37" t="s">
        <v>680</v>
      </c>
      <c r="O238" s="36" t="str">
        <f>VLOOKUP(L238,CECOs!A:B,2,0)</f>
        <v>Almacenamiento de Agua FP</v>
      </c>
      <c r="P238" s="17" t="str">
        <f>VLOOKUP(B:B,CECOs!G:I,3,FALSE)</f>
        <v>OperadordePlantadeAguaWatertransfer</v>
      </c>
      <c r="Q238" s="17" t="str">
        <f>IF(_xlfn.XLOOKUP(L238,CECOs!A:A,CECOs!C:C,"")="",K238,_xlfn.XLOOKUP(L238,CECOs!A:A,CECOs!C:C,""))</f>
        <v>HUARTE, ESTEBAN</v>
      </c>
      <c r="R238" s="17" t="s">
        <v>38</v>
      </c>
      <c r="S238" s="17" t="s">
        <v>45</v>
      </c>
      <c r="T238" s="17" t="s">
        <v>61</v>
      </c>
      <c r="U238" s="17" t="s">
        <v>217</v>
      </c>
      <c r="V238" s="17" t="s">
        <v>95</v>
      </c>
      <c r="W238" s="17"/>
      <c r="X238" s="17"/>
      <c r="Y238" s="17"/>
      <c r="Z238" s="17"/>
      <c r="AA238" s="17"/>
      <c r="AB238" s="17" t="s">
        <v>49</v>
      </c>
      <c r="AC238" s="17"/>
      <c r="AD238" s="17" t="s">
        <v>50</v>
      </c>
      <c r="AE238" s="17"/>
      <c r="AF238" s="17"/>
      <c r="AG238" s="17"/>
      <c r="AH238" s="17"/>
      <c r="AI238" s="17"/>
      <c r="AJ238" s="17"/>
      <c r="AK238" s="29"/>
    </row>
    <row r="239" spans="1:37" ht="9.9499999999999993">
      <c r="A239" s="29">
        <v>46266</v>
      </c>
      <c r="B239" s="22">
        <v>3393003</v>
      </c>
      <c r="C239" s="17" t="s">
        <v>681</v>
      </c>
      <c r="D239" s="17" t="s">
        <v>38</v>
      </c>
      <c r="E239" s="17" t="s">
        <v>38</v>
      </c>
      <c r="F239" s="17"/>
      <c r="G239" s="17" t="str">
        <f>Table1[[#This Row],[DESCRIPCION_POSICION]]</f>
        <v>Operador Especializado de Well Testing</v>
      </c>
      <c r="H239" s="17" t="s">
        <v>682</v>
      </c>
      <c r="I239" s="17" t="s">
        <v>40</v>
      </c>
      <c r="J239" s="17" t="s">
        <v>68</v>
      </c>
      <c r="K239" s="17" t="s">
        <v>80</v>
      </c>
      <c r="L239" s="36" t="s">
        <v>683</v>
      </c>
      <c r="M239" s="103"/>
      <c r="N239" s="38" t="s">
        <v>684</v>
      </c>
      <c r="O239" s="36" t="str">
        <f>VLOOKUP(L239,CECOs!A:B,2,0)</f>
        <v>Oper Well Services FP</v>
      </c>
      <c r="P239" s="17" t="str">
        <f>VLOOKUP(B:B,CECOs!G:I,3,FALSE)</f>
        <v>WellServices</v>
      </c>
      <c r="Q239" s="17" t="str">
        <f>IF(_xlfn.XLOOKUP(L239,CECOs!A:A,CECOs!C:C,"")="",K239,_xlfn.XLOOKUP(L239,CECOs!A:A,CECOs!C:C,""))</f>
        <v>MACIAS, OSCAR  / SAFFE, JULIAN</v>
      </c>
      <c r="R239" s="17" t="s">
        <v>38</v>
      </c>
      <c r="S239" s="17" t="s">
        <v>45</v>
      </c>
      <c r="T239" s="17" t="s">
        <v>61</v>
      </c>
      <c r="U239" s="17" t="s">
        <v>217</v>
      </c>
      <c r="V239" s="17" t="s">
        <v>95</v>
      </c>
      <c r="W239" s="17"/>
      <c r="X239" s="17"/>
      <c r="Y239" s="17"/>
      <c r="Z239" s="17"/>
      <c r="AA239" s="17"/>
      <c r="AB239" s="17" t="s">
        <v>49</v>
      </c>
      <c r="AC239" s="17"/>
      <c r="AD239" s="17" t="s">
        <v>50</v>
      </c>
      <c r="AE239" s="17"/>
      <c r="AF239" s="17"/>
      <c r="AG239" s="17"/>
      <c r="AH239" s="17"/>
      <c r="AI239" s="17"/>
      <c r="AJ239" s="17"/>
      <c r="AK239" s="29"/>
    </row>
    <row r="240" spans="1:37" ht="9.9499999999999993">
      <c r="A240" s="29">
        <v>46266</v>
      </c>
      <c r="B240" s="22">
        <v>3393004</v>
      </c>
      <c r="C240" s="17" t="s">
        <v>681</v>
      </c>
      <c r="D240" s="17" t="s">
        <v>38</v>
      </c>
      <c r="E240" s="17" t="s">
        <v>38</v>
      </c>
      <c r="F240" s="17"/>
      <c r="G240" s="17" t="str">
        <f>Table1[[#This Row],[DESCRIPCION_POSICION]]</f>
        <v>Operador Especializado de Well Testing</v>
      </c>
      <c r="H240" s="22" t="s">
        <v>685</v>
      </c>
      <c r="I240" s="17" t="s">
        <v>40</v>
      </c>
      <c r="J240" s="17" t="s">
        <v>68</v>
      </c>
      <c r="K240" s="17" t="s">
        <v>80</v>
      </c>
      <c r="L240" s="36" t="s">
        <v>683</v>
      </c>
      <c r="M240" s="103"/>
      <c r="N240" s="37" t="s">
        <v>686</v>
      </c>
      <c r="O240" s="36" t="str">
        <f>VLOOKUP(L240,CECOs!A:B,2,0)</f>
        <v>Oper Well Services FP</v>
      </c>
      <c r="P240" s="17" t="str">
        <f>VLOOKUP(B:B,CECOs!G:I,3,FALSE)</f>
        <v>WellServices</v>
      </c>
      <c r="Q240" s="17" t="str">
        <f>IF(_xlfn.XLOOKUP(L240,CECOs!A:A,CECOs!C:C,"")="",K240,_xlfn.XLOOKUP(L240,CECOs!A:A,CECOs!C:C,""))</f>
        <v>MACIAS, OSCAR  / SAFFE, JULIAN</v>
      </c>
      <c r="R240" s="17" t="s">
        <v>38</v>
      </c>
      <c r="S240" s="17" t="s">
        <v>45</v>
      </c>
      <c r="T240" s="17" t="s">
        <v>61</v>
      </c>
      <c r="U240" s="17" t="s">
        <v>217</v>
      </c>
      <c r="V240" s="17" t="s">
        <v>95</v>
      </c>
      <c r="W240" s="17"/>
      <c r="X240" s="17"/>
      <c r="Y240" s="17"/>
      <c r="Z240" s="17"/>
      <c r="AA240" s="17"/>
      <c r="AB240" s="17" t="s">
        <v>49</v>
      </c>
      <c r="AC240" s="17"/>
      <c r="AD240" s="17" t="s">
        <v>50</v>
      </c>
      <c r="AE240" s="17"/>
      <c r="AF240" s="17"/>
      <c r="AG240" s="17"/>
      <c r="AH240" s="17"/>
      <c r="AI240" s="17"/>
      <c r="AJ240" s="17"/>
      <c r="AK240" s="29"/>
    </row>
    <row r="241" spans="1:37" ht="9.9499999999999993">
      <c r="A241" s="29">
        <v>46266</v>
      </c>
      <c r="B241" s="22">
        <v>3393005</v>
      </c>
      <c r="C241" s="17" t="s">
        <v>681</v>
      </c>
      <c r="D241" s="17" t="s">
        <v>38</v>
      </c>
      <c r="E241" s="17" t="s">
        <v>38</v>
      </c>
      <c r="F241" s="17"/>
      <c r="G241" s="17" t="str">
        <f>Table1[[#This Row],[DESCRIPCION_POSICION]]</f>
        <v>Operador Especializado de Well Testing</v>
      </c>
      <c r="H241" s="17" t="s">
        <v>687</v>
      </c>
      <c r="I241" s="17" t="s">
        <v>40</v>
      </c>
      <c r="J241" s="17" t="s">
        <v>68</v>
      </c>
      <c r="K241" s="17" t="s">
        <v>80</v>
      </c>
      <c r="L241" s="36" t="s">
        <v>683</v>
      </c>
      <c r="M241" s="103"/>
      <c r="N241" s="38" t="s">
        <v>688</v>
      </c>
      <c r="O241" s="36" t="str">
        <f>VLOOKUP(L241,CECOs!A:B,2,0)</f>
        <v>Oper Well Services FP</v>
      </c>
      <c r="P241" s="17" t="str">
        <f>VLOOKUP(B:B,CECOs!G:I,3,FALSE)</f>
        <v>WellServices</v>
      </c>
      <c r="Q241" s="17" t="str">
        <f>IF(_xlfn.XLOOKUP(L241,CECOs!A:A,CECOs!C:C,"")="",K241,_xlfn.XLOOKUP(L241,CECOs!A:A,CECOs!C:C,""))</f>
        <v>MACIAS, OSCAR  / SAFFE, JULIAN</v>
      </c>
      <c r="R241" s="17" t="s">
        <v>38</v>
      </c>
      <c r="S241" s="17" t="s">
        <v>45</v>
      </c>
      <c r="T241" s="17" t="s">
        <v>61</v>
      </c>
      <c r="U241" s="17" t="s">
        <v>217</v>
      </c>
      <c r="V241" s="17" t="s">
        <v>95</v>
      </c>
      <c r="W241" s="17"/>
      <c r="X241" s="17"/>
      <c r="Y241" s="17"/>
      <c r="Z241" s="17"/>
      <c r="AA241" s="17"/>
      <c r="AB241" s="17" t="s">
        <v>49</v>
      </c>
      <c r="AC241" s="17"/>
      <c r="AD241" s="17" t="s">
        <v>50</v>
      </c>
      <c r="AE241" s="17"/>
      <c r="AF241" s="17"/>
      <c r="AG241" s="17"/>
      <c r="AH241" s="17"/>
      <c r="AI241" s="17"/>
      <c r="AJ241" s="17"/>
      <c r="AK241" s="29"/>
    </row>
    <row r="242" spans="1:37" ht="9.9499999999999993">
      <c r="A242" s="29">
        <v>46266</v>
      </c>
      <c r="B242" s="22">
        <v>3393006</v>
      </c>
      <c r="C242" s="17" t="s">
        <v>681</v>
      </c>
      <c r="D242" s="17" t="s">
        <v>38</v>
      </c>
      <c r="E242" s="17" t="s">
        <v>38</v>
      </c>
      <c r="F242" s="17"/>
      <c r="G242" s="17" t="str">
        <f>Table1[[#This Row],[DESCRIPCION_POSICION]]</f>
        <v>Operador Especializado de Well Testing</v>
      </c>
      <c r="H242" s="22" t="s">
        <v>689</v>
      </c>
      <c r="I242" s="17" t="s">
        <v>40</v>
      </c>
      <c r="J242" s="17" t="s">
        <v>68</v>
      </c>
      <c r="K242" s="17" t="s">
        <v>80</v>
      </c>
      <c r="L242" s="36" t="s">
        <v>683</v>
      </c>
      <c r="M242" s="103"/>
      <c r="N242" s="37" t="s">
        <v>690</v>
      </c>
      <c r="O242" s="36" t="str">
        <f>VLOOKUP(L242,CECOs!A:B,2,0)</f>
        <v>Oper Well Services FP</v>
      </c>
      <c r="P242" s="17" t="str">
        <f>VLOOKUP(B:B,CECOs!G:I,3,FALSE)</f>
        <v>WellServices</v>
      </c>
      <c r="Q242" s="17" t="str">
        <f>IF(_xlfn.XLOOKUP(L242,CECOs!A:A,CECOs!C:C,"")="",K242,_xlfn.XLOOKUP(L242,CECOs!A:A,CECOs!C:C,""))</f>
        <v>MACIAS, OSCAR  / SAFFE, JULIAN</v>
      </c>
      <c r="R242" s="17" t="s">
        <v>38</v>
      </c>
      <c r="S242" s="17" t="s">
        <v>45</v>
      </c>
      <c r="T242" s="17" t="s">
        <v>61</v>
      </c>
      <c r="U242" s="17" t="s">
        <v>217</v>
      </c>
      <c r="V242" s="17" t="s">
        <v>95</v>
      </c>
      <c r="W242" s="17"/>
      <c r="X242" s="17"/>
      <c r="Y242" s="17"/>
      <c r="Z242" s="17"/>
      <c r="AA242" s="17"/>
      <c r="AB242" s="17" t="s">
        <v>49</v>
      </c>
      <c r="AC242" s="17"/>
      <c r="AD242" s="17" t="s">
        <v>50</v>
      </c>
      <c r="AE242" s="17"/>
      <c r="AF242" s="17"/>
      <c r="AG242" s="17"/>
      <c r="AH242" s="17"/>
      <c r="AI242" s="17"/>
      <c r="AJ242" s="17"/>
      <c r="AK242" s="29"/>
    </row>
    <row r="243" spans="1:37" ht="9.9499999999999993">
      <c r="A243" s="29">
        <v>46266</v>
      </c>
      <c r="B243" s="22">
        <v>3393007</v>
      </c>
      <c r="C243" s="17" t="s">
        <v>691</v>
      </c>
      <c r="D243" s="17" t="s">
        <v>38</v>
      </c>
      <c r="E243" s="17" t="s">
        <v>38</v>
      </c>
      <c r="F243" s="17"/>
      <c r="G243" s="17" t="str">
        <f>Table1[[#This Row],[DESCRIPCION_POSICION]]</f>
        <v>Chofer Operador</v>
      </c>
      <c r="H243" s="17" t="s">
        <v>692</v>
      </c>
      <c r="I243" s="17" t="s">
        <v>40</v>
      </c>
      <c r="J243" s="17" t="s">
        <v>68</v>
      </c>
      <c r="K243" s="17" t="s">
        <v>80</v>
      </c>
      <c r="L243" s="36" t="s">
        <v>683</v>
      </c>
      <c r="M243" s="103"/>
      <c r="N243" s="38" t="s">
        <v>693</v>
      </c>
      <c r="O243" s="36" t="str">
        <f>VLOOKUP(L243,CECOs!A:B,2,0)</f>
        <v>Oper Well Services FP</v>
      </c>
      <c r="P243" s="17" t="str">
        <f>VLOOKUP(B:B,CECOs!G:I,3,FALSE)</f>
        <v>WellServices</v>
      </c>
      <c r="Q243" s="17" t="str">
        <f>IF(_xlfn.XLOOKUP(L243,CECOs!A:A,CECOs!C:C,"")="",K243,_xlfn.XLOOKUP(L243,CECOs!A:A,CECOs!C:C,""))</f>
        <v>MACIAS, OSCAR  / SAFFE, JULIAN</v>
      </c>
      <c r="R243" s="17" t="s">
        <v>38</v>
      </c>
      <c r="S243" s="17" t="s">
        <v>45</v>
      </c>
      <c r="T243" s="17" t="s">
        <v>61</v>
      </c>
      <c r="U243" s="17" t="s">
        <v>217</v>
      </c>
      <c r="V243" s="17" t="s">
        <v>95</v>
      </c>
      <c r="W243" s="17"/>
      <c r="X243" s="17"/>
      <c r="Y243" s="17"/>
      <c r="Z243" s="17"/>
      <c r="AA243" s="17"/>
      <c r="AB243" s="17" t="s">
        <v>49</v>
      </c>
      <c r="AC243" s="17"/>
      <c r="AD243" s="17" t="s">
        <v>50</v>
      </c>
      <c r="AE243" s="17"/>
      <c r="AF243" s="17"/>
      <c r="AG243" s="17"/>
      <c r="AH243" s="17"/>
      <c r="AI243" s="17"/>
      <c r="AJ243" s="17"/>
      <c r="AK243" s="29"/>
    </row>
    <row r="244" spans="1:37" ht="9.9499999999999993">
      <c r="A244" s="29">
        <v>46266</v>
      </c>
      <c r="B244" s="22">
        <v>3393008</v>
      </c>
      <c r="C244" s="17" t="s">
        <v>691</v>
      </c>
      <c r="D244" s="17" t="s">
        <v>38</v>
      </c>
      <c r="E244" s="17" t="s">
        <v>38</v>
      </c>
      <c r="F244" s="17"/>
      <c r="G244" s="17" t="str">
        <f>Table1[[#This Row],[DESCRIPCION_POSICION]]</f>
        <v>Chofer Operador</v>
      </c>
      <c r="H244" s="22" t="s">
        <v>694</v>
      </c>
      <c r="I244" s="17" t="s">
        <v>40</v>
      </c>
      <c r="J244" s="17" t="s">
        <v>68</v>
      </c>
      <c r="K244" s="17" t="s">
        <v>80</v>
      </c>
      <c r="L244" s="36" t="s">
        <v>683</v>
      </c>
      <c r="M244" s="103"/>
      <c r="N244" s="37" t="s">
        <v>695</v>
      </c>
      <c r="O244" s="36" t="str">
        <f>VLOOKUP(L244,CECOs!A:B,2,0)</f>
        <v>Oper Well Services FP</v>
      </c>
      <c r="P244" s="17" t="str">
        <f>VLOOKUP(B:B,CECOs!G:I,3,FALSE)</f>
        <v>WellServices</v>
      </c>
      <c r="Q244" s="17" t="str">
        <f>IF(_xlfn.XLOOKUP(L244,CECOs!A:A,CECOs!C:C,"")="",K244,_xlfn.XLOOKUP(L244,CECOs!A:A,CECOs!C:C,""))</f>
        <v>MACIAS, OSCAR  / SAFFE, JULIAN</v>
      </c>
      <c r="R244" s="17" t="s">
        <v>38</v>
      </c>
      <c r="S244" s="17" t="s">
        <v>45</v>
      </c>
      <c r="T244" s="17" t="s">
        <v>61</v>
      </c>
      <c r="U244" s="17" t="s">
        <v>217</v>
      </c>
      <c r="V244" s="17" t="s">
        <v>95</v>
      </c>
      <c r="W244" s="17"/>
      <c r="X244" s="17"/>
      <c r="Y244" s="17"/>
      <c r="Z244" s="17"/>
      <c r="AA244" s="17"/>
      <c r="AB244" s="17" t="s">
        <v>49</v>
      </c>
      <c r="AC244" s="17"/>
      <c r="AD244" s="17" t="s">
        <v>50</v>
      </c>
      <c r="AE244" s="17"/>
      <c r="AF244" s="17"/>
      <c r="AG244" s="17"/>
      <c r="AH244" s="17"/>
      <c r="AI244" s="17"/>
      <c r="AJ244" s="17"/>
      <c r="AK244" s="29"/>
    </row>
    <row r="245" spans="1:37" ht="9.9499999999999993">
      <c r="A245" s="29">
        <v>46266</v>
      </c>
      <c r="B245" s="22">
        <v>3393009</v>
      </c>
      <c r="C245" s="17" t="s">
        <v>383</v>
      </c>
      <c r="D245" s="17" t="s">
        <v>38</v>
      </c>
      <c r="E245" s="17" t="s">
        <v>38</v>
      </c>
      <c r="F245" s="17"/>
      <c r="G245" s="17" t="str">
        <f>Table1[[#This Row],[DESCRIPCION_POSICION]]</f>
        <v>Recorredor</v>
      </c>
      <c r="H245" s="17" t="s">
        <v>696</v>
      </c>
      <c r="I245" s="17" t="s">
        <v>40</v>
      </c>
      <c r="J245" s="17" t="s">
        <v>68</v>
      </c>
      <c r="K245" s="17" t="s">
        <v>80</v>
      </c>
      <c r="L245" s="36" t="s">
        <v>683</v>
      </c>
      <c r="M245" s="103"/>
      <c r="N245" s="28" t="s">
        <v>697</v>
      </c>
      <c r="O245" s="36" t="str">
        <f>VLOOKUP(L245,CECOs!A:B,2,0)</f>
        <v>Oper Well Services FP</v>
      </c>
      <c r="P245" s="17" t="str">
        <f>VLOOKUP(B:B,CECOs!G:I,3,FALSE)</f>
        <v>WellServicesDesfogue</v>
      </c>
      <c r="Q245" s="17" t="str">
        <f>IF(_xlfn.XLOOKUP(L245,CECOs!A:A,CECOs!C:C,"")="",K245,_xlfn.XLOOKUP(L245,CECOs!A:A,CECOs!C:C,""))</f>
        <v>MACIAS, OSCAR  / SAFFE, JULIAN</v>
      </c>
      <c r="R245" s="17" t="s">
        <v>38</v>
      </c>
      <c r="S245" s="17" t="s">
        <v>45</v>
      </c>
      <c r="T245" s="17" t="s">
        <v>61</v>
      </c>
      <c r="U245" s="17" t="s">
        <v>217</v>
      </c>
      <c r="V245" s="17" t="s">
        <v>95</v>
      </c>
      <c r="W245" s="17"/>
      <c r="X245" s="17"/>
      <c r="Y245" s="17"/>
      <c r="Z245" s="17"/>
      <c r="AA245" s="17"/>
      <c r="AB245" s="17" t="s">
        <v>49</v>
      </c>
      <c r="AC245" s="17"/>
      <c r="AD245" s="17" t="s">
        <v>50</v>
      </c>
      <c r="AE245" s="17"/>
      <c r="AF245" s="17"/>
      <c r="AG245" s="17"/>
      <c r="AH245" s="17"/>
      <c r="AI245" s="17"/>
      <c r="AJ245" s="17"/>
      <c r="AK245" s="29"/>
    </row>
    <row r="246" spans="1:37" ht="9.9499999999999993">
      <c r="A246" s="29">
        <v>46266</v>
      </c>
      <c r="B246" s="22">
        <v>3393010</v>
      </c>
      <c r="C246" s="17" t="s">
        <v>90</v>
      </c>
      <c r="D246" s="17" t="s">
        <v>38</v>
      </c>
      <c r="E246" s="17" t="s">
        <v>38</v>
      </c>
      <c r="F246" s="17"/>
      <c r="G246" s="17" t="str">
        <f>Table1[[#This Row],[DESCRIPCION_POSICION]]</f>
        <v>Oficial Especializado de Oficios</v>
      </c>
      <c r="H246" s="22" t="s">
        <v>698</v>
      </c>
      <c r="I246" s="17" t="s">
        <v>40</v>
      </c>
      <c r="J246" s="17" t="s">
        <v>68</v>
      </c>
      <c r="K246" s="17" t="s">
        <v>73</v>
      </c>
      <c r="L246" s="36" t="s">
        <v>699</v>
      </c>
      <c r="M246" s="103"/>
      <c r="N246" s="37" t="s">
        <v>700</v>
      </c>
      <c r="O246" s="36" t="str">
        <f>VLOOKUP(L246,CECOs!A:B,2,0)</f>
        <v>Mtto Instrumentos FP</v>
      </c>
      <c r="P246" s="17" t="str">
        <f>VLOOKUP(B:B,CECOs!G:I,3,FALSE)</f>
        <v>Instrumentista</v>
      </c>
      <c r="Q246" s="17" t="str">
        <f>IF(_xlfn.XLOOKUP(L246,CECOs!A:A,CECOs!C:C,"")="",K246,_xlfn.XLOOKUP(L246,CECOs!A:A,CECOs!C:C,""))</f>
        <v>CORDOVA, DANIELA / ALTAMIRANDA, LEANDRO</v>
      </c>
      <c r="R246" s="17" t="s">
        <v>38</v>
      </c>
      <c r="S246" s="17" t="s">
        <v>45</v>
      </c>
      <c r="T246" s="17" t="s">
        <v>57</v>
      </c>
      <c r="U246" s="17" t="s">
        <v>94</v>
      </c>
      <c r="V246" s="17" t="s">
        <v>95</v>
      </c>
      <c r="W246" s="17"/>
      <c r="X246" s="17"/>
      <c r="Y246" s="17"/>
      <c r="Z246" s="17"/>
      <c r="AA246" s="17"/>
      <c r="AB246" s="17" t="s">
        <v>49</v>
      </c>
      <c r="AC246" s="17"/>
      <c r="AD246" s="17" t="s">
        <v>50</v>
      </c>
      <c r="AE246" s="17"/>
      <c r="AF246" s="17"/>
      <c r="AG246" s="17"/>
      <c r="AH246" s="17"/>
      <c r="AI246" s="17"/>
      <c r="AJ246" s="17"/>
      <c r="AK246" s="29"/>
    </row>
    <row r="247" spans="1:37" ht="9.9499999999999993">
      <c r="A247" s="29">
        <v>46266</v>
      </c>
      <c r="B247" s="22">
        <v>3393011</v>
      </c>
      <c r="C247" s="17" t="s">
        <v>90</v>
      </c>
      <c r="D247" s="17" t="s">
        <v>38</v>
      </c>
      <c r="E247" s="17" t="s">
        <v>38</v>
      </c>
      <c r="F247" s="17"/>
      <c r="G247" s="17" t="str">
        <f>Table1[[#This Row],[DESCRIPCION_POSICION]]</f>
        <v>Oficial Especializado de Oficios</v>
      </c>
      <c r="H247" s="49"/>
      <c r="I247" s="17" t="s">
        <v>40</v>
      </c>
      <c r="J247" s="17" t="s">
        <v>68</v>
      </c>
      <c r="K247" s="17" t="s">
        <v>73</v>
      </c>
      <c r="L247" s="36" t="s">
        <v>699</v>
      </c>
      <c r="M247" s="103"/>
      <c r="N247" s="79" t="s">
        <v>701</v>
      </c>
      <c r="O247" s="36" t="str">
        <f>VLOOKUP(L247,CECOs!A:B,2,0)</f>
        <v>Mtto Instrumentos FP</v>
      </c>
      <c r="P247" s="17" t="str">
        <f>VLOOKUP(B:B,CECOs!G:I,3,FALSE)</f>
        <v>Instrumentista</v>
      </c>
      <c r="Q247" s="17" t="str">
        <f>IF(_xlfn.XLOOKUP(L247,CECOs!A:A,CECOs!C:C,"")="",K247,_xlfn.XLOOKUP(L247,CECOs!A:A,CECOs!C:C,""))</f>
        <v>CORDOVA, DANIELA / ALTAMIRANDA, LEANDRO</v>
      </c>
      <c r="R247" s="17" t="s">
        <v>38</v>
      </c>
      <c r="S247" s="17" t="s">
        <v>45</v>
      </c>
      <c r="T247" s="17" t="s">
        <v>57</v>
      </c>
      <c r="U247" s="17" t="s">
        <v>94</v>
      </c>
      <c r="V247" s="17" t="s">
        <v>95</v>
      </c>
      <c r="W247" s="17"/>
      <c r="X247" s="17"/>
      <c r="Y247" s="17"/>
      <c r="Z247" s="17"/>
      <c r="AA247" s="17"/>
      <c r="AB247" s="17" t="s">
        <v>49</v>
      </c>
      <c r="AC247" s="17"/>
      <c r="AD247" s="17" t="s">
        <v>50</v>
      </c>
      <c r="AE247" s="17"/>
      <c r="AF247" s="17"/>
      <c r="AG247" s="17"/>
      <c r="AH247" s="17"/>
      <c r="AI247" s="17"/>
      <c r="AJ247" s="17"/>
      <c r="AK247" s="29"/>
    </row>
    <row r="248" spans="1:37" ht="9.9499999999999993">
      <c r="A248" s="29">
        <v>46266</v>
      </c>
      <c r="B248" s="22">
        <v>3392982</v>
      </c>
      <c r="C248" s="17" t="s">
        <v>213</v>
      </c>
      <c r="D248" s="17" t="s">
        <v>38</v>
      </c>
      <c r="E248" s="17" t="s">
        <v>38</v>
      </c>
      <c r="F248" s="17"/>
      <c r="G248" s="17" t="str">
        <f>Table1[[#This Row],[DESCRIPCION_POSICION]]</f>
        <v>Recorredor Especializado</v>
      </c>
      <c r="H248" s="22" t="s">
        <v>702</v>
      </c>
      <c r="I248" s="17" t="s">
        <v>40</v>
      </c>
      <c r="J248" s="17" t="s">
        <v>68</v>
      </c>
      <c r="K248" s="17" t="s">
        <v>86</v>
      </c>
      <c r="L248" s="36" t="s">
        <v>635</v>
      </c>
      <c r="M248" s="103"/>
      <c r="N248" s="37" t="s">
        <v>703</v>
      </c>
      <c r="O248" s="36" t="str">
        <f>VLOOKUP(L248,CECOs!A:B,2,0)</f>
        <v>Oper campo FP</v>
      </c>
      <c r="P248" s="17" t="str">
        <f>VLOOKUP(B:B,CECOs!G:I,3,FALSE)</f>
        <v>OperadordeCampo</v>
      </c>
      <c r="Q248" s="17" t="str">
        <f>IF(_xlfn.XLOOKUP(L248,CECOs!A:A,CECOs!C:C,"")="",K248,_xlfn.XLOOKUP(L248,CECOs!A:A,CECOs!C:C,""))</f>
        <v>HUARTE, ESTEBAN</v>
      </c>
      <c r="R248" s="17" t="s">
        <v>38</v>
      </c>
      <c r="S248" s="17" t="s">
        <v>45</v>
      </c>
      <c r="T248" s="17" t="s">
        <v>61</v>
      </c>
      <c r="U248" s="17" t="s">
        <v>217</v>
      </c>
      <c r="V248" s="17" t="s">
        <v>95</v>
      </c>
      <c r="W248" s="17"/>
      <c r="X248" s="17"/>
      <c r="Y248" s="17"/>
      <c r="Z248" s="17"/>
      <c r="AA248" s="17"/>
      <c r="AB248" s="17" t="s">
        <v>49</v>
      </c>
      <c r="AC248" s="17"/>
      <c r="AD248" s="17" t="s">
        <v>50</v>
      </c>
      <c r="AE248" s="17"/>
      <c r="AF248" s="17"/>
      <c r="AG248" s="17"/>
      <c r="AH248" s="17"/>
      <c r="AI248" s="17"/>
      <c r="AJ248" s="17"/>
      <c r="AK248" s="29"/>
    </row>
    <row r="249" spans="1:37" ht="9.9499999999999993">
      <c r="A249" s="29">
        <v>46266</v>
      </c>
      <c r="B249" s="22">
        <v>3393012</v>
      </c>
      <c r="C249" s="17" t="s">
        <v>410</v>
      </c>
      <c r="D249" s="17" t="s">
        <v>38</v>
      </c>
      <c r="E249" s="17" t="s">
        <v>38</v>
      </c>
      <c r="F249" s="17"/>
      <c r="G249" s="17" t="str">
        <f>Table1[[#This Row],[DESCRIPCION_POSICION]]</f>
        <v>Oficial de Oficios</v>
      </c>
      <c r="H249" s="22" t="s">
        <v>704</v>
      </c>
      <c r="I249" s="17" t="s">
        <v>40</v>
      </c>
      <c r="J249" s="17" t="s">
        <v>68</v>
      </c>
      <c r="K249" s="17" t="s">
        <v>73</v>
      </c>
      <c r="L249" s="36" t="s">
        <v>699</v>
      </c>
      <c r="M249" s="103"/>
      <c r="N249" s="37" t="s">
        <v>705</v>
      </c>
      <c r="O249" s="36" t="str">
        <f>VLOOKUP(L249,CECOs!A:B,2,0)</f>
        <v>Mtto Instrumentos FP</v>
      </c>
      <c r="P249" s="17" t="str">
        <f>VLOOKUP(B:B,CECOs!G:I,3,FALSE)</f>
        <v>Instrumentista</v>
      </c>
      <c r="Q249" s="17" t="str">
        <f>IF(_xlfn.XLOOKUP(L249,CECOs!A:A,CECOs!C:C,"")="",K249,_xlfn.XLOOKUP(L249,CECOs!A:A,CECOs!C:C,""))</f>
        <v>CORDOVA, DANIELA / ALTAMIRANDA, LEANDRO</v>
      </c>
      <c r="R249" s="17" t="s">
        <v>38</v>
      </c>
      <c r="S249" s="17" t="s">
        <v>45</v>
      </c>
      <c r="T249" s="17" t="s">
        <v>57</v>
      </c>
      <c r="U249" s="17" t="s">
        <v>94</v>
      </c>
      <c r="V249" s="17" t="s">
        <v>95</v>
      </c>
      <c r="W249" s="17"/>
      <c r="X249" s="17"/>
      <c r="Y249" s="17"/>
      <c r="Z249" s="17"/>
      <c r="AA249" s="17"/>
      <c r="AB249" s="17" t="s">
        <v>49</v>
      </c>
      <c r="AC249" s="17"/>
      <c r="AD249" s="17" t="s">
        <v>50</v>
      </c>
      <c r="AE249" s="17"/>
      <c r="AF249" s="17"/>
      <c r="AG249" s="17"/>
      <c r="AH249" s="17"/>
      <c r="AI249" s="17"/>
      <c r="AJ249" s="17"/>
      <c r="AK249" s="29"/>
    </row>
    <row r="250" spans="1:37" ht="9.9499999999999993">
      <c r="A250" s="29">
        <v>46266</v>
      </c>
      <c r="B250" s="22">
        <v>3393014</v>
      </c>
      <c r="C250" s="17" t="s">
        <v>90</v>
      </c>
      <c r="D250" s="17" t="s">
        <v>38</v>
      </c>
      <c r="E250" s="17" t="s">
        <v>38</v>
      </c>
      <c r="F250" s="17"/>
      <c r="G250" s="17" t="str">
        <f>Table1[[#This Row],[DESCRIPCION_POSICION]]</f>
        <v>Oficial Especializado de Oficios</v>
      </c>
      <c r="H250" s="49"/>
      <c r="I250" s="17" t="s">
        <v>40</v>
      </c>
      <c r="J250" s="17" t="s">
        <v>68</v>
      </c>
      <c r="K250" s="17" t="s">
        <v>73</v>
      </c>
      <c r="L250" s="36" t="s">
        <v>699</v>
      </c>
      <c r="M250" s="103"/>
      <c r="N250" s="79" t="s">
        <v>701</v>
      </c>
      <c r="O250" s="36" t="str">
        <f>VLOOKUP(L250,CECOs!A:B,2,0)</f>
        <v>Mtto Instrumentos FP</v>
      </c>
      <c r="P250" s="17" t="str">
        <f>VLOOKUP(B:B,CECOs!G:I,3,FALSE)</f>
        <v>Instrumentista</v>
      </c>
      <c r="Q250" s="17" t="str">
        <f>IF(_xlfn.XLOOKUP(L250,CECOs!A:A,CECOs!C:C,"")="",K250,_xlfn.XLOOKUP(L250,CECOs!A:A,CECOs!C:C,""))</f>
        <v>CORDOVA, DANIELA / ALTAMIRANDA, LEANDRO</v>
      </c>
      <c r="R250" s="17" t="s">
        <v>38</v>
      </c>
      <c r="S250" s="17" t="s">
        <v>45</v>
      </c>
      <c r="T250" s="17" t="s">
        <v>57</v>
      </c>
      <c r="U250" s="17" t="s">
        <v>94</v>
      </c>
      <c r="V250" s="17" t="s">
        <v>95</v>
      </c>
      <c r="W250" s="17"/>
      <c r="X250" s="17"/>
      <c r="Y250" s="17"/>
      <c r="Z250" s="17"/>
      <c r="AA250" s="17"/>
      <c r="AB250" s="17" t="s">
        <v>49</v>
      </c>
      <c r="AC250" s="17"/>
      <c r="AD250" s="17" t="s">
        <v>50</v>
      </c>
      <c r="AE250" s="17"/>
      <c r="AF250" s="17"/>
      <c r="AG250" s="17"/>
      <c r="AH250" s="17"/>
      <c r="AI250" s="17"/>
      <c r="AJ250" s="17"/>
      <c r="AK250" s="29"/>
    </row>
    <row r="251" spans="1:37" ht="9.9499999999999993">
      <c r="A251" s="29">
        <v>46266</v>
      </c>
      <c r="B251" s="22">
        <v>3393015</v>
      </c>
      <c r="C251" s="17" t="s">
        <v>410</v>
      </c>
      <c r="D251" s="17" t="s">
        <v>38</v>
      </c>
      <c r="E251" s="17" t="s">
        <v>38</v>
      </c>
      <c r="F251" s="17"/>
      <c r="G251" s="17" t="str">
        <f>Table1[[#This Row],[DESCRIPCION_POSICION]]</f>
        <v>Oficial de Oficios</v>
      </c>
      <c r="H251" s="17" t="s">
        <v>706</v>
      </c>
      <c r="I251" s="17" t="s">
        <v>40</v>
      </c>
      <c r="J251" s="17" t="s">
        <v>68</v>
      </c>
      <c r="K251" s="17" t="s">
        <v>73</v>
      </c>
      <c r="L251" s="36" t="s">
        <v>699</v>
      </c>
      <c r="M251" s="103"/>
      <c r="N251" s="38" t="s">
        <v>707</v>
      </c>
      <c r="O251" s="36" t="str">
        <f>VLOOKUP(L251,CECOs!A:B,2,0)</f>
        <v>Mtto Instrumentos FP</v>
      </c>
      <c r="P251" s="17" t="str">
        <f>VLOOKUP(B:B,CECOs!G:I,3,FALSE)</f>
        <v>Instrumentista</v>
      </c>
      <c r="Q251" s="17" t="str">
        <f>IF(_xlfn.XLOOKUP(L251,CECOs!A:A,CECOs!C:C,"")="",K251,_xlfn.XLOOKUP(L251,CECOs!A:A,CECOs!C:C,""))</f>
        <v>CORDOVA, DANIELA / ALTAMIRANDA, LEANDRO</v>
      </c>
      <c r="R251" s="17" t="s">
        <v>38</v>
      </c>
      <c r="S251" s="17" t="s">
        <v>45</v>
      </c>
      <c r="T251" s="17" t="s">
        <v>57</v>
      </c>
      <c r="U251" s="17" t="s">
        <v>94</v>
      </c>
      <c r="V251" s="17" t="s">
        <v>95</v>
      </c>
      <c r="W251" s="17"/>
      <c r="X251" s="17"/>
      <c r="Y251" s="17"/>
      <c r="Z251" s="17"/>
      <c r="AA251" s="17"/>
      <c r="AB251" s="17" t="s">
        <v>49</v>
      </c>
      <c r="AC251" s="17"/>
      <c r="AD251" s="17" t="s">
        <v>50</v>
      </c>
      <c r="AE251" s="17"/>
      <c r="AF251" s="17"/>
      <c r="AG251" s="17"/>
      <c r="AH251" s="17"/>
      <c r="AI251" s="17"/>
      <c r="AJ251" s="17"/>
      <c r="AK251" s="29"/>
    </row>
    <row r="252" spans="1:37" ht="9.9499999999999993">
      <c r="A252" s="29">
        <v>46266</v>
      </c>
      <c r="B252" s="22">
        <v>3393016</v>
      </c>
      <c r="C252" s="17" t="s">
        <v>90</v>
      </c>
      <c r="D252" s="17" t="s">
        <v>38</v>
      </c>
      <c r="E252" s="17" t="s">
        <v>38</v>
      </c>
      <c r="F252" s="17"/>
      <c r="G252" s="17" t="str">
        <f>Table1[[#This Row],[DESCRIPCION_POSICION]]</f>
        <v>Oficial Especializado de Oficios</v>
      </c>
      <c r="H252" s="46"/>
      <c r="I252" s="17" t="s">
        <v>40</v>
      </c>
      <c r="J252" s="17" t="s">
        <v>68</v>
      </c>
      <c r="K252" s="17" t="s">
        <v>73</v>
      </c>
      <c r="L252" s="36" t="s">
        <v>699</v>
      </c>
      <c r="M252" s="103"/>
      <c r="N252" s="79" t="s">
        <v>701</v>
      </c>
      <c r="O252" s="36" t="str">
        <f>VLOOKUP(L252,CECOs!A:B,2,0)</f>
        <v>Mtto Instrumentos FP</v>
      </c>
      <c r="P252" s="17" t="str">
        <f>VLOOKUP(B:B,CECOs!G:I,3,FALSE)</f>
        <v>Instrumentista</v>
      </c>
      <c r="Q252" s="17" t="str">
        <f>IF(_xlfn.XLOOKUP(L252,CECOs!A:A,CECOs!C:C,"")="",K252,_xlfn.XLOOKUP(L252,CECOs!A:A,CECOs!C:C,""))</f>
        <v>CORDOVA, DANIELA / ALTAMIRANDA, LEANDRO</v>
      </c>
      <c r="R252" s="17" t="s">
        <v>38</v>
      </c>
      <c r="S252" s="17" t="s">
        <v>45</v>
      </c>
      <c r="T252" s="17" t="s">
        <v>57</v>
      </c>
      <c r="U252" s="17" t="s">
        <v>94</v>
      </c>
      <c r="V252" s="17" t="s">
        <v>95</v>
      </c>
      <c r="W252" s="17"/>
      <c r="X252" s="17"/>
      <c r="Y252" s="17"/>
      <c r="Z252" s="17"/>
      <c r="AA252" s="17"/>
      <c r="AB252" s="17" t="s">
        <v>49</v>
      </c>
      <c r="AC252" s="17"/>
      <c r="AD252" s="17" t="s">
        <v>50</v>
      </c>
      <c r="AE252" s="17"/>
      <c r="AF252" s="17"/>
      <c r="AG252" s="17"/>
      <c r="AH252" s="17"/>
      <c r="AI252" s="17"/>
      <c r="AJ252" s="17"/>
      <c r="AK252" s="29"/>
    </row>
    <row r="253" spans="1:37" ht="9.9499999999999993">
      <c r="A253" s="29">
        <v>46266</v>
      </c>
      <c r="B253" s="22">
        <v>3393017</v>
      </c>
      <c r="C253" s="17" t="s">
        <v>410</v>
      </c>
      <c r="D253" s="17" t="s">
        <v>38</v>
      </c>
      <c r="E253" s="17" t="s">
        <v>38</v>
      </c>
      <c r="F253" s="17"/>
      <c r="G253" s="17" t="str">
        <f>Table1[[#This Row],[DESCRIPCION_POSICION]]</f>
        <v>Oficial de Oficios</v>
      </c>
      <c r="H253" s="17" t="s">
        <v>708</v>
      </c>
      <c r="I253" s="17" t="s">
        <v>40</v>
      </c>
      <c r="J253" s="17" t="s">
        <v>68</v>
      </c>
      <c r="K253" s="17" t="s">
        <v>73</v>
      </c>
      <c r="L253" s="36" t="s">
        <v>699</v>
      </c>
      <c r="M253" s="103"/>
      <c r="N253" s="38" t="s">
        <v>709</v>
      </c>
      <c r="O253" s="36" t="str">
        <f>VLOOKUP(L253,CECOs!A:B,2,0)</f>
        <v>Mtto Instrumentos FP</v>
      </c>
      <c r="P253" s="17" t="str">
        <f>VLOOKUP(B:B,CECOs!G:I,3,FALSE)</f>
        <v>Instrumentista</v>
      </c>
      <c r="Q253" s="17" t="str">
        <f>IF(_xlfn.XLOOKUP(L253,CECOs!A:A,CECOs!C:C,"")="",K253,_xlfn.XLOOKUP(L253,CECOs!A:A,CECOs!C:C,""))</f>
        <v>CORDOVA, DANIELA / ALTAMIRANDA, LEANDRO</v>
      </c>
      <c r="R253" s="17" t="s">
        <v>38</v>
      </c>
      <c r="S253" s="17" t="s">
        <v>45</v>
      </c>
      <c r="T253" s="17" t="s">
        <v>57</v>
      </c>
      <c r="U253" s="17" t="s">
        <v>94</v>
      </c>
      <c r="V253" s="17" t="s">
        <v>95</v>
      </c>
      <c r="W253" s="17"/>
      <c r="X253" s="17"/>
      <c r="Y253" s="17"/>
      <c r="Z253" s="17"/>
      <c r="AA253" s="17"/>
      <c r="AB253" s="17" t="s">
        <v>49</v>
      </c>
      <c r="AC253" s="17"/>
      <c r="AD253" s="17" t="s">
        <v>50</v>
      </c>
      <c r="AE253" s="17"/>
      <c r="AF253" s="17"/>
      <c r="AG253" s="17"/>
      <c r="AH253" s="17"/>
      <c r="AI253" s="17"/>
      <c r="AJ253" s="17"/>
      <c r="AK253" s="29"/>
    </row>
    <row r="254" spans="1:37" ht="9.9499999999999993">
      <c r="A254" s="29">
        <v>46266</v>
      </c>
      <c r="B254" s="22">
        <v>3393018</v>
      </c>
      <c r="C254" s="17" t="s">
        <v>410</v>
      </c>
      <c r="D254" s="17" t="s">
        <v>38</v>
      </c>
      <c r="E254" s="17" t="s">
        <v>38</v>
      </c>
      <c r="F254" s="17"/>
      <c r="G254" s="17" t="str">
        <f>Table1[[#This Row],[DESCRIPCION_POSICION]]</f>
        <v>Oficial de Oficios</v>
      </c>
      <c r="H254" s="53" t="s">
        <v>710</v>
      </c>
      <c r="I254" s="17" t="s">
        <v>40</v>
      </c>
      <c r="J254" s="17" t="s">
        <v>68</v>
      </c>
      <c r="K254" s="17" t="s">
        <v>73</v>
      </c>
      <c r="L254" s="36" t="s">
        <v>699</v>
      </c>
      <c r="M254" s="103"/>
      <c r="N254" s="26" t="s">
        <v>711</v>
      </c>
      <c r="O254" s="36" t="str">
        <f>VLOOKUP(L254,CECOs!A:B,2,0)</f>
        <v>Mtto Instrumentos FP</v>
      </c>
      <c r="P254" s="17" t="str">
        <f>VLOOKUP(B:B,CECOs!G:I,3,FALSE)</f>
        <v>Relevomantenimiento</v>
      </c>
      <c r="Q254" s="17" t="str">
        <f>IF(_xlfn.XLOOKUP(L254,CECOs!A:A,CECOs!C:C,"")="",K254,_xlfn.XLOOKUP(L254,CECOs!A:A,CECOs!C:C,""))</f>
        <v>CORDOVA, DANIELA / ALTAMIRANDA, LEANDRO</v>
      </c>
      <c r="R254" s="17" t="s">
        <v>38</v>
      </c>
      <c r="S254" s="17" t="s">
        <v>45</v>
      </c>
      <c r="T254" s="17" t="s">
        <v>57</v>
      </c>
      <c r="U254" s="17" t="s">
        <v>94</v>
      </c>
      <c r="V254" s="17" t="s">
        <v>95</v>
      </c>
      <c r="W254" s="17"/>
      <c r="X254" s="17"/>
      <c r="Y254" s="17"/>
      <c r="Z254" s="17"/>
      <c r="AA254" s="17"/>
      <c r="AB254" s="17" t="s">
        <v>49</v>
      </c>
      <c r="AC254" s="17"/>
      <c r="AD254" s="17" t="s">
        <v>50</v>
      </c>
      <c r="AE254" s="17"/>
      <c r="AF254" s="17"/>
      <c r="AG254" s="17"/>
      <c r="AH254" s="17"/>
      <c r="AI254" s="17"/>
      <c r="AJ254" s="17"/>
      <c r="AK254" s="29"/>
    </row>
    <row r="255" spans="1:37" ht="9.9499999999999993">
      <c r="A255" s="29">
        <v>46266</v>
      </c>
      <c r="B255" s="22">
        <v>3393019</v>
      </c>
      <c r="C255" s="17" t="s">
        <v>90</v>
      </c>
      <c r="D255" s="17" t="s">
        <v>38</v>
      </c>
      <c r="E255" s="17" t="s">
        <v>38</v>
      </c>
      <c r="F255" s="17"/>
      <c r="G255" s="17" t="str">
        <f>Table1[[#This Row],[DESCRIPCION_POSICION]]</f>
        <v>Oficial Especializado de Oficios</v>
      </c>
      <c r="H255" s="17" t="s">
        <v>712</v>
      </c>
      <c r="I255" s="17" t="s">
        <v>40</v>
      </c>
      <c r="J255" s="17" t="s">
        <v>68</v>
      </c>
      <c r="K255" s="17" t="s">
        <v>73</v>
      </c>
      <c r="L255" s="36" t="s">
        <v>713</v>
      </c>
      <c r="M255" s="103"/>
      <c r="N255" s="38" t="s">
        <v>714</v>
      </c>
      <c r="O255" s="36" t="str">
        <f>VLOOKUP(L255,CECOs!A:B,2,0)</f>
        <v>Mtto Eléctrico FP</v>
      </c>
      <c r="P255" s="17" t="str">
        <f>VLOOKUP(B:B,CECOs!G:I,3,FALSE)</f>
        <v>Eléctrico</v>
      </c>
      <c r="Q255" s="17" t="str">
        <f>IF(_xlfn.XLOOKUP(L255,CECOs!A:A,CECOs!C:C,"")="",K255,_xlfn.XLOOKUP(L255,CECOs!A:A,CECOs!C:C,""))</f>
        <v>CORDOVA, DANIELA / ALTAMIRANDA, LEANDRO</v>
      </c>
      <c r="R255" s="17" t="s">
        <v>38</v>
      </c>
      <c r="S255" s="17" t="s">
        <v>45</v>
      </c>
      <c r="T255" s="17" t="s">
        <v>57</v>
      </c>
      <c r="U255" s="17" t="s">
        <v>94</v>
      </c>
      <c r="V255" s="17" t="s">
        <v>95</v>
      </c>
      <c r="W255" s="17"/>
      <c r="X255" s="17"/>
      <c r="Y255" s="17"/>
      <c r="Z255" s="17"/>
      <c r="AA255" s="17"/>
      <c r="AB255" s="17" t="s">
        <v>49</v>
      </c>
      <c r="AC255" s="17"/>
      <c r="AD255" s="17" t="s">
        <v>50</v>
      </c>
      <c r="AE255" s="17"/>
      <c r="AF255" s="17"/>
      <c r="AG255" s="17"/>
      <c r="AH255" s="17"/>
      <c r="AI255" s="17"/>
      <c r="AJ255" s="17"/>
      <c r="AK255" s="29"/>
    </row>
    <row r="256" spans="1:37" ht="9.9499999999999993">
      <c r="A256" s="29">
        <v>46266</v>
      </c>
      <c r="B256" s="22">
        <v>3393020</v>
      </c>
      <c r="C256" s="17" t="s">
        <v>90</v>
      </c>
      <c r="D256" s="17" t="s">
        <v>38</v>
      </c>
      <c r="E256" s="17" t="s">
        <v>38</v>
      </c>
      <c r="F256" s="17"/>
      <c r="G256" s="17" t="str">
        <f>Table1[[#This Row],[DESCRIPCION_POSICION]]</f>
        <v>Oficial Especializado de Oficios</v>
      </c>
      <c r="H256" s="22" t="s">
        <v>715</v>
      </c>
      <c r="I256" s="17" t="s">
        <v>40</v>
      </c>
      <c r="J256" s="17" t="s">
        <v>68</v>
      </c>
      <c r="K256" s="17" t="s">
        <v>73</v>
      </c>
      <c r="L256" s="36" t="s">
        <v>713</v>
      </c>
      <c r="M256" s="103"/>
      <c r="N256" s="37" t="s">
        <v>716</v>
      </c>
      <c r="O256" s="36" t="str">
        <f>VLOOKUP(L256,CECOs!A:B,2,0)</f>
        <v>Mtto Eléctrico FP</v>
      </c>
      <c r="P256" s="17" t="str">
        <f>VLOOKUP(B:B,CECOs!G:I,3,FALSE)</f>
        <v>Eléctrico</v>
      </c>
      <c r="Q256" s="17" t="str">
        <f>IF(_xlfn.XLOOKUP(L256,CECOs!A:A,CECOs!C:C,"")="",K256,_xlfn.XLOOKUP(L256,CECOs!A:A,CECOs!C:C,""))</f>
        <v>CORDOVA, DANIELA / ALTAMIRANDA, LEANDRO</v>
      </c>
      <c r="R256" s="17" t="s">
        <v>38</v>
      </c>
      <c r="S256" s="17" t="s">
        <v>45</v>
      </c>
      <c r="T256" s="17" t="s">
        <v>57</v>
      </c>
      <c r="U256" s="17" t="s">
        <v>94</v>
      </c>
      <c r="V256" s="17" t="s">
        <v>95</v>
      </c>
      <c r="W256" s="17"/>
      <c r="X256" s="17"/>
      <c r="Y256" s="17"/>
      <c r="Z256" s="17"/>
      <c r="AA256" s="17"/>
      <c r="AB256" s="17" t="s">
        <v>49</v>
      </c>
      <c r="AC256" s="17"/>
      <c r="AD256" s="17" t="s">
        <v>50</v>
      </c>
      <c r="AE256" s="17"/>
      <c r="AF256" s="17"/>
      <c r="AG256" s="17"/>
      <c r="AH256" s="17"/>
      <c r="AI256" s="17"/>
      <c r="AJ256" s="17"/>
      <c r="AK256" s="29"/>
    </row>
    <row r="257" spans="1:37" ht="9.9499999999999993">
      <c r="A257" s="29">
        <v>46266</v>
      </c>
      <c r="B257" s="22">
        <v>3393021</v>
      </c>
      <c r="C257" s="17" t="s">
        <v>90</v>
      </c>
      <c r="D257" s="17" t="s">
        <v>38</v>
      </c>
      <c r="E257" s="17" t="s">
        <v>38</v>
      </c>
      <c r="F257" s="17"/>
      <c r="G257" s="17" t="str">
        <f>Table1[[#This Row],[DESCRIPCION_POSICION]]</f>
        <v>Oficial Especializado de Oficios</v>
      </c>
      <c r="H257" s="17" t="s">
        <v>717</v>
      </c>
      <c r="I257" s="17" t="s">
        <v>40</v>
      </c>
      <c r="J257" s="17" t="s">
        <v>68</v>
      </c>
      <c r="K257" s="17" t="s">
        <v>73</v>
      </c>
      <c r="L257" s="36" t="s">
        <v>713</v>
      </c>
      <c r="M257" s="103"/>
      <c r="N257" s="38" t="s">
        <v>718</v>
      </c>
      <c r="O257" s="36" t="str">
        <f>VLOOKUP(L257,CECOs!A:B,2,0)</f>
        <v>Mtto Eléctrico FP</v>
      </c>
      <c r="P257" s="17" t="str">
        <f>VLOOKUP(B:B,CECOs!G:I,3,FALSE)</f>
        <v>Eléctrico</v>
      </c>
      <c r="Q257" s="17" t="str">
        <f>IF(_xlfn.XLOOKUP(L257,CECOs!A:A,CECOs!C:C,"")="",K257,_xlfn.XLOOKUP(L257,CECOs!A:A,CECOs!C:C,""))</f>
        <v>CORDOVA, DANIELA / ALTAMIRANDA, LEANDRO</v>
      </c>
      <c r="R257" s="17" t="s">
        <v>38</v>
      </c>
      <c r="S257" s="17" t="s">
        <v>45</v>
      </c>
      <c r="T257" s="17" t="s">
        <v>57</v>
      </c>
      <c r="U257" s="17" t="s">
        <v>94</v>
      </c>
      <c r="V257" s="17" t="s">
        <v>95</v>
      </c>
      <c r="W257" s="17"/>
      <c r="X257" s="17"/>
      <c r="Y257" s="17"/>
      <c r="Z257" s="17"/>
      <c r="AA257" s="17"/>
      <c r="AB257" s="17" t="s">
        <v>49</v>
      </c>
      <c r="AC257" s="17"/>
      <c r="AD257" s="17" t="s">
        <v>50</v>
      </c>
      <c r="AE257" s="17"/>
      <c r="AF257" s="17"/>
      <c r="AG257" s="17"/>
      <c r="AH257" s="17"/>
      <c r="AI257" s="17"/>
      <c r="AJ257" s="17"/>
      <c r="AK257" s="29"/>
    </row>
    <row r="258" spans="1:37" ht="9.9499999999999993">
      <c r="A258" s="29">
        <v>46266</v>
      </c>
      <c r="B258" s="22">
        <v>3393022</v>
      </c>
      <c r="C258" s="17" t="s">
        <v>410</v>
      </c>
      <c r="D258" s="17" t="s">
        <v>38</v>
      </c>
      <c r="E258" s="17" t="s">
        <v>38</v>
      </c>
      <c r="F258" s="17"/>
      <c r="G258" s="17" t="str">
        <f>Table1[[#This Row],[DESCRIPCION_POSICION]]</f>
        <v>Oficial de Oficios</v>
      </c>
      <c r="H258" s="22" t="s">
        <v>719</v>
      </c>
      <c r="I258" s="17" t="s">
        <v>40</v>
      </c>
      <c r="J258" s="17" t="s">
        <v>68</v>
      </c>
      <c r="K258" s="17" t="s">
        <v>73</v>
      </c>
      <c r="L258" s="36" t="s">
        <v>713</v>
      </c>
      <c r="M258" s="103"/>
      <c r="N258" s="37" t="s">
        <v>720</v>
      </c>
      <c r="O258" s="36" t="str">
        <f>VLOOKUP(L258,CECOs!A:B,2,0)</f>
        <v>Mtto Eléctrico FP</v>
      </c>
      <c r="P258" s="17" t="str">
        <f>VLOOKUP(B:B,CECOs!G:I,3,FALSE)</f>
        <v>Eléctrico</v>
      </c>
      <c r="Q258" s="17" t="str">
        <f>IF(_xlfn.XLOOKUP(L258,CECOs!A:A,CECOs!C:C,"")="",K258,_xlfn.XLOOKUP(L258,CECOs!A:A,CECOs!C:C,""))</f>
        <v>CORDOVA, DANIELA / ALTAMIRANDA, LEANDRO</v>
      </c>
      <c r="R258" s="17" t="s">
        <v>38</v>
      </c>
      <c r="S258" s="17" t="s">
        <v>45</v>
      </c>
      <c r="T258" s="17" t="s">
        <v>57</v>
      </c>
      <c r="U258" s="17" t="s">
        <v>94</v>
      </c>
      <c r="V258" s="17" t="s">
        <v>95</v>
      </c>
      <c r="W258" s="17"/>
      <c r="X258" s="17"/>
      <c r="Y258" s="17"/>
      <c r="Z258" s="17"/>
      <c r="AA258" s="17"/>
      <c r="AB258" s="17" t="s">
        <v>49</v>
      </c>
      <c r="AC258" s="17"/>
      <c r="AD258" s="17" t="s">
        <v>50</v>
      </c>
      <c r="AE258" s="17"/>
      <c r="AF258" s="17"/>
      <c r="AG258" s="17"/>
      <c r="AH258" s="17"/>
      <c r="AI258" s="17"/>
      <c r="AJ258" s="17"/>
      <c r="AK258" s="29"/>
    </row>
    <row r="259" spans="1:37" ht="9.9499999999999993">
      <c r="A259" s="29">
        <v>46266</v>
      </c>
      <c r="B259" s="22">
        <v>3393024</v>
      </c>
      <c r="C259" s="17" t="s">
        <v>90</v>
      </c>
      <c r="D259" s="17" t="s">
        <v>38</v>
      </c>
      <c r="E259" s="17" t="s">
        <v>38</v>
      </c>
      <c r="F259" s="17"/>
      <c r="G259" s="17" t="str">
        <f>Table1[[#This Row],[DESCRIPCION_POSICION]]</f>
        <v>Oficial Especializado de Oficios</v>
      </c>
      <c r="H259" s="49"/>
      <c r="I259" s="17" t="s">
        <v>40</v>
      </c>
      <c r="J259" s="17" t="s">
        <v>68</v>
      </c>
      <c r="K259" s="17" t="s">
        <v>73</v>
      </c>
      <c r="L259" s="36" t="s">
        <v>92</v>
      </c>
      <c r="M259" s="103"/>
      <c r="N259" s="47" t="s">
        <v>721</v>
      </c>
      <c r="O259" s="36" t="str">
        <f>VLOOKUP(L259,CECOs!A:B,2,0)</f>
        <v>Mtto Mecánico FP</v>
      </c>
      <c r="P259" s="17" t="str">
        <f>VLOOKUP(B:B,CECOs!G:I,3,FALSE)</f>
        <v>Mecánicos,engraseyflota</v>
      </c>
      <c r="Q259" s="17" t="str">
        <f>IF(_xlfn.XLOOKUP(L259,CECOs!A:A,CECOs!C:C,"")="",K259,_xlfn.XLOOKUP(L259,CECOs!A:A,CECOs!C:C,""))</f>
        <v>CORDOVA, DANIELA / ALTAMIRANDA, LEANDRO</v>
      </c>
      <c r="R259" s="17" t="s">
        <v>38</v>
      </c>
      <c r="S259" s="17" t="s">
        <v>45</v>
      </c>
      <c r="T259" s="17" t="s">
        <v>57</v>
      </c>
      <c r="U259" s="17" t="s">
        <v>94</v>
      </c>
      <c r="V259" s="17" t="s">
        <v>95</v>
      </c>
      <c r="W259" s="17"/>
      <c r="X259" s="17"/>
      <c r="Y259" s="17"/>
      <c r="Z259" s="17"/>
      <c r="AA259" s="17"/>
      <c r="AB259" s="17" t="s">
        <v>49</v>
      </c>
      <c r="AC259" s="17"/>
      <c r="AD259" s="17" t="s">
        <v>50</v>
      </c>
      <c r="AE259" s="17"/>
      <c r="AF259" s="17"/>
      <c r="AG259" s="17"/>
      <c r="AH259" s="17"/>
      <c r="AI259" s="17"/>
      <c r="AJ259" s="17"/>
      <c r="AK259" s="29"/>
    </row>
    <row r="260" spans="1:37" ht="9.9499999999999993">
      <c r="A260" s="29">
        <v>46266</v>
      </c>
      <c r="B260" s="22">
        <v>3393025</v>
      </c>
      <c r="C260" s="17" t="s">
        <v>410</v>
      </c>
      <c r="D260" s="17" t="s">
        <v>38</v>
      </c>
      <c r="E260" s="17" t="s">
        <v>38</v>
      </c>
      <c r="F260" s="17"/>
      <c r="G260" s="17" t="str">
        <f>Table1[[#This Row],[DESCRIPCION_POSICION]]</f>
        <v>Oficial de Oficios</v>
      </c>
      <c r="H260" s="49"/>
      <c r="I260" s="17" t="s">
        <v>40</v>
      </c>
      <c r="J260" s="17" t="s">
        <v>68</v>
      </c>
      <c r="K260" s="17" t="s">
        <v>73</v>
      </c>
      <c r="L260" s="36" t="s">
        <v>92</v>
      </c>
      <c r="M260" s="103"/>
      <c r="N260" s="47" t="s">
        <v>721</v>
      </c>
      <c r="O260" s="36" t="str">
        <f>VLOOKUP(L260,CECOs!A:B,2,0)</f>
        <v>Mtto Mecánico FP</v>
      </c>
      <c r="P260" s="17" t="str">
        <f>VLOOKUP(B:B,CECOs!G:I,3,FALSE)</f>
        <v>Mecánicos,engraseyflota</v>
      </c>
      <c r="Q260" s="17" t="str">
        <f>IF(_xlfn.XLOOKUP(L260,CECOs!A:A,CECOs!C:C,"")="",K260,_xlfn.XLOOKUP(L260,CECOs!A:A,CECOs!C:C,""))</f>
        <v>CORDOVA, DANIELA / ALTAMIRANDA, LEANDRO</v>
      </c>
      <c r="R260" s="17" t="s">
        <v>38</v>
      </c>
      <c r="S260" s="17" t="s">
        <v>45</v>
      </c>
      <c r="T260" s="17" t="s">
        <v>57</v>
      </c>
      <c r="U260" s="17" t="s">
        <v>94</v>
      </c>
      <c r="V260" s="17" t="s">
        <v>95</v>
      </c>
      <c r="W260" s="17"/>
      <c r="X260" s="17"/>
      <c r="Y260" s="17"/>
      <c r="Z260" s="17"/>
      <c r="AA260" s="17"/>
      <c r="AB260" s="17" t="s">
        <v>49</v>
      </c>
      <c r="AC260" s="17"/>
      <c r="AD260" s="17" t="s">
        <v>50</v>
      </c>
      <c r="AE260" s="17"/>
      <c r="AF260" s="17"/>
      <c r="AG260" s="17"/>
      <c r="AH260" s="17"/>
      <c r="AI260" s="17"/>
      <c r="AJ260" s="17"/>
      <c r="AK260" s="29"/>
    </row>
    <row r="261" spans="1:37" ht="9.9499999999999993">
      <c r="A261" s="29">
        <v>46266</v>
      </c>
      <c r="B261" s="22">
        <v>3393026</v>
      </c>
      <c r="C261" s="17" t="s">
        <v>90</v>
      </c>
      <c r="D261" s="17" t="s">
        <v>38</v>
      </c>
      <c r="E261" s="17" t="s">
        <v>38</v>
      </c>
      <c r="F261" s="17"/>
      <c r="G261" s="17" t="str">
        <f>Table1[[#This Row],[DESCRIPCION_POSICION]]</f>
        <v>Oficial Especializado de Oficios</v>
      </c>
      <c r="H261" s="17" t="s">
        <v>722</v>
      </c>
      <c r="I261" s="17" t="s">
        <v>40</v>
      </c>
      <c r="J261" s="17" t="s">
        <v>68</v>
      </c>
      <c r="K261" s="17" t="s">
        <v>73</v>
      </c>
      <c r="L261" s="36" t="s">
        <v>92</v>
      </c>
      <c r="M261" s="103"/>
      <c r="N261" s="38" t="s">
        <v>723</v>
      </c>
      <c r="O261" s="36" t="str">
        <f>VLOOKUP(L261,CECOs!A:B,2,0)</f>
        <v>Mtto Mecánico FP</v>
      </c>
      <c r="P261" s="17" t="str">
        <f>VLOOKUP(B:B,CECOs!G:I,3,FALSE)</f>
        <v>Mecánicos,engraseyflota</v>
      </c>
      <c r="Q261" s="17" t="str">
        <f>IF(_xlfn.XLOOKUP(L261,CECOs!A:A,CECOs!C:C,"")="",K261,_xlfn.XLOOKUP(L261,CECOs!A:A,CECOs!C:C,""))</f>
        <v>CORDOVA, DANIELA / ALTAMIRANDA, LEANDRO</v>
      </c>
      <c r="R261" s="17" t="s">
        <v>38</v>
      </c>
      <c r="S261" s="17" t="s">
        <v>45</v>
      </c>
      <c r="T261" s="17" t="s">
        <v>57</v>
      </c>
      <c r="U261" s="17" t="s">
        <v>94</v>
      </c>
      <c r="V261" s="17" t="s">
        <v>95</v>
      </c>
      <c r="W261" s="17"/>
      <c r="X261" s="17"/>
      <c r="Y261" s="17"/>
      <c r="Z261" s="17"/>
      <c r="AA261" s="17"/>
      <c r="AB261" s="17" t="s">
        <v>49</v>
      </c>
      <c r="AC261" s="17"/>
      <c r="AD261" s="17" t="s">
        <v>50</v>
      </c>
      <c r="AE261" s="17"/>
      <c r="AF261" s="17"/>
      <c r="AG261" s="17"/>
      <c r="AH261" s="17"/>
      <c r="AI261" s="17"/>
      <c r="AJ261" s="17"/>
      <c r="AK261" s="29"/>
    </row>
    <row r="262" spans="1:37" ht="9.9499999999999993">
      <c r="A262" s="29">
        <v>46266</v>
      </c>
      <c r="B262" s="22">
        <v>3393027</v>
      </c>
      <c r="C262" s="17" t="s">
        <v>410</v>
      </c>
      <c r="D262" s="17" t="s">
        <v>38</v>
      </c>
      <c r="E262" s="17" t="s">
        <v>38</v>
      </c>
      <c r="F262" s="17"/>
      <c r="G262" s="17" t="str">
        <f>Table1[[#This Row],[DESCRIPCION_POSICION]]</f>
        <v>Oficial de Oficios</v>
      </c>
      <c r="H262" s="49"/>
      <c r="I262" s="17" t="s">
        <v>40</v>
      </c>
      <c r="J262" s="17" t="s">
        <v>68</v>
      </c>
      <c r="K262" s="17" t="s">
        <v>73</v>
      </c>
      <c r="L262" s="36" t="s">
        <v>92</v>
      </c>
      <c r="M262" s="103"/>
      <c r="N262" s="47" t="s">
        <v>721</v>
      </c>
      <c r="O262" s="36" t="str">
        <f>VLOOKUP(L262,CECOs!A:B,2,0)</f>
        <v>Mtto Mecánico FP</v>
      </c>
      <c r="P262" s="17" t="str">
        <f>VLOOKUP(B:B,CECOs!G:I,3,FALSE)</f>
        <v>Mecánicos,engraseyflota</v>
      </c>
      <c r="Q262" s="17" t="str">
        <f>IF(_xlfn.XLOOKUP(L262,CECOs!A:A,CECOs!C:C,"")="",K262,_xlfn.XLOOKUP(L262,CECOs!A:A,CECOs!C:C,""))</f>
        <v>CORDOVA, DANIELA / ALTAMIRANDA, LEANDRO</v>
      </c>
      <c r="R262" s="17" t="s">
        <v>38</v>
      </c>
      <c r="S262" s="17" t="s">
        <v>45</v>
      </c>
      <c r="T262" s="17" t="s">
        <v>57</v>
      </c>
      <c r="U262" s="17" t="s">
        <v>94</v>
      </c>
      <c r="V262" s="17" t="s">
        <v>95</v>
      </c>
      <c r="W262" s="17"/>
      <c r="X262" s="17"/>
      <c r="Y262" s="17"/>
      <c r="Z262" s="17"/>
      <c r="AA262" s="17"/>
      <c r="AB262" s="17" t="s">
        <v>49</v>
      </c>
      <c r="AC262" s="17"/>
      <c r="AD262" s="17" t="s">
        <v>50</v>
      </c>
      <c r="AE262" s="17"/>
      <c r="AF262" s="17"/>
      <c r="AG262" s="17"/>
      <c r="AH262" s="17"/>
      <c r="AI262" s="17"/>
      <c r="AJ262" s="17"/>
      <c r="AK262" s="29"/>
    </row>
    <row r="263" spans="1:37" ht="9.9499999999999993">
      <c r="A263" s="29">
        <v>46266</v>
      </c>
      <c r="B263" s="22">
        <v>3393028</v>
      </c>
      <c r="C263" s="17" t="s">
        <v>410</v>
      </c>
      <c r="D263" s="17" t="s">
        <v>38</v>
      </c>
      <c r="E263" s="17" t="s">
        <v>38</v>
      </c>
      <c r="F263" s="17"/>
      <c r="G263" s="17" t="str">
        <f>Table1[[#This Row],[DESCRIPCION_POSICION]]</f>
        <v>Oficial de Oficios</v>
      </c>
      <c r="H263" s="17" t="s">
        <v>724</v>
      </c>
      <c r="I263" s="17" t="s">
        <v>40</v>
      </c>
      <c r="J263" s="17" t="s">
        <v>68</v>
      </c>
      <c r="K263" s="17" t="s">
        <v>73</v>
      </c>
      <c r="L263" s="36" t="s">
        <v>92</v>
      </c>
      <c r="M263" s="103"/>
      <c r="N263" s="38" t="s">
        <v>725</v>
      </c>
      <c r="O263" s="36" t="str">
        <f>VLOOKUP(L263,CECOs!A:B,2,0)</f>
        <v>Mtto Mecánico FP</v>
      </c>
      <c r="P263" s="17" t="str">
        <f>VLOOKUP(B:B,CECOs!G:I,3,FALSE)</f>
        <v>Mecánicos,engraseyflota</v>
      </c>
      <c r="Q263" s="17" t="str">
        <f>IF(_xlfn.XLOOKUP(L263,CECOs!A:A,CECOs!C:C,"")="",K263,_xlfn.XLOOKUP(L263,CECOs!A:A,CECOs!C:C,""))</f>
        <v>CORDOVA, DANIELA / ALTAMIRANDA, LEANDRO</v>
      </c>
      <c r="R263" s="17" t="s">
        <v>38</v>
      </c>
      <c r="S263" s="17" t="s">
        <v>45</v>
      </c>
      <c r="T263" s="17" t="s">
        <v>57</v>
      </c>
      <c r="U263" s="17" t="s">
        <v>94</v>
      </c>
      <c r="V263" s="17" t="s">
        <v>95</v>
      </c>
      <c r="W263" s="17"/>
      <c r="X263" s="17"/>
      <c r="Y263" s="17"/>
      <c r="Z263" s="17"/>
      <c r="AA263" s="17"/>
      <c r="AB263" s="17" t="s">
        <v>49</v>
      </c>
      <c r="AC263" s="17"/>
      <c r="AD263" s="17" t="s">
        <v>50</v>
      </c>
      <c r="AE263" s="17"/>
      <c r="AF263" s="17"/>
      <c r="AG263" s="17"/>
      <c r="AH263" s="17"/>
      <c r="AI263" s="17"/>
      <c r="AJ263" s="17"/>
      <c r="AK263" s="29"/>
    </row>
    <row r="264" spans="1:37" ht="9.9499999999999993">
      <c r="A264" s="29">
        <v>46266</v>
      </c>
      <c r="B264" s="22">
        <v>3393029</v>
      </c>
      <c r="C264" s="17" t="s">
        <v>90</v>
      </c>
      <c r="D264" s="17" t="s">
        <v>38</v>
      </c>
      <c r="E264" s="17" t="s">
        <v>38</v>
      </c>
      <c r="F264" s="17"/>
      <c r="G264" s="17" t="str">
        <f>Table1[[#This Row],[DESCRIPCION_POSICION]]</f>
        <v>Oficial Especializado de Oficios</v>
      </c>
      <c r="H264" s="49"/>
      <c r="I264" s="17" t="s">
        <v>40</v>
      </c>
      <c r="J264" s="17" t="s">
        <v>68</v>
      </c>
      <c r="K264" s="17" t="s">
        <v>73</v>
      </c>
      <c r="L264" s="36" t="s">
        <v>92</v>
      </c>
      <c r="M264" s="103"/>
      <c r="N264" s="47" t="s">
        <v>721</v>
      </c>
      <c r="O264" s="36" t="str">
        <f>VLOOKUP(L264,CECOs!A:B,2,0)</f>
        <v>Mtto Mecánico FP</v>
      </c>
      <c r="P264" s="17" t="str">
        <f>VLOOKUP(B:B,CECOs!G:I,3,FALSE)</f>
        <v>Mecánicos,engraseyflota</v>
      </c>
      <c r="Q264" s="17" t="str">
        <f>IF(_xlfn.XLOOKUP(L264,CECOs!A:A,CECOs!C:C,"")="",K264,_xlfn.XLOOKUP(L264,CECOs!A:A,CECOs!C:C,""))</f>
        <v>CORDOVA, DANIELA / ALTAMIRANDA, LEANDRO</v>
      </c>
      <c r="R264" s="17" t="s">
        <v>38</v>
      </c>
      <c r="S264" s="17" t="s">
        <v>45</v>
      </c>
      <c r="T264" s="17" t="s">
        <v>57</v>
      </c>
      <c r="U264" s="17" t="s">
        <v>94</v>
      </c>
      <c r="V264" s="17" t="s">
        <v>95</v>
      </c>
      <c r="W264" s="17"/>
      <c r="X264" s="17"/>
      <c r="Y264" s="17"/>
      <c r="Z264" s="17"/>
      <c r="AA264" s="17"/>
      <c r="AB264" s="17" t="s">
        <v>49</v>
      </c>
      <c r="AC264" s="17"/>
      <c r="AD264" s="17" t="s">
        <v>50</v>
      </c>
      <c r="AE264" s="17"/>
      <c r="AF264" s="17"/>
      <c r="AG264" s="17"/>
      <c r="AH264" s="17"/>
      <c r="AI264" s="17"/>
      <c r="AJ264" s="17"/>
      <c r="AK264" s="29"/>
    </row>
    <row r="265" spans="1:37" ht="9.9499999999999993">
      <c r="A265" s="29">
        <v>46266</v>
      </c>
      <c r="B265" s="22">
        <v>3393030</v>
      </c>
      <c r="C265" s="17" t="s">
        <v>90</v>
      </c>
      <c r="D265" s="17" t="s">
        <v>38</v>
      </c>
      <c r="E265" s="17" t="s">
        <v>38</v>
      </c>
      <c r="F265" s="17"/>
      <c r="G265" s="17" t="str">
        <f>Table1[[#This Row],[DESCRIPCION_POSICION]]</f>
        <v>Oficial Especializado de Oficios</v>
      </c>
      <c r="H265" s="17" t="s">
        <v>726</v>
      </c>
      <c r="I265" s="17" t="s">
        <v>40</v>
      </c>
      <c r="J265" s="17" t="s">
        <v>68</v>
      </c>
      <c r="K265" s="17" t="s">
        <v>73</v>
      </c>
      <c r="L265" s="36" t="s">
        <v>92</v>
      </c>
      <c r="M265" s="103"/>
      <c r="N265" s="38" t="s">
        <v>727</v>
      </c>
      <c r="O265" s="36" t="str">
        <f>VLOOKUP(L265,CECOs!A:B,2,0)</f>
        <v>Mtto Mecánico FP</v>
      </c>
      <c r="P265" s="17" t="str">
        <f>VLOOKUP(B:B,CECOs!G:I,3,FALSE)</f>
        <v>Mecánicos,engraseyflota</v>
      </c>
      <c r="Q265" s="17" t="str">
        <f>IF(_xlfn.XLOOKUP(L265,CECOs!A:A,CECOs!C:C,"")="",K265,_xlfn.XLOOKUP(L265,CECOs!A:A,CECOs!C:C,""))</f>
        <v>CORDOVA, DANIELA / ALTAMIRANDA, LEANDRO</v>
      </c>
      <c r="R265" s="17" t="s">
        <v>38</v>
      </c>
      <c r="S265" s="17" t="s">
        <v>45</v>
      </c>
      <c r="T265" s="17" t="s">
        <v>57</v>
      </c>
      <c r="U265" s="17" t="s">
        <v>94</v>
      </c>
      <c r="V265" s="17" t="s">
        <v>95</v>
      </c>
      <c r="W265" s="17"/>
      <c r="X265" s="17"/>
      <c r="Y265" s="17"/>
      <c r="Z265" s="17"/>
      <c r="AA265" s="17"/>
      <c r="AB265" s="17" t="s">
        <v>49</v>
      </c>
      <c r="AC265" s="17"/>
      <c r="AD265" s="17" t="s">
        <v>50</v>
      </c>
      <c r="AE265" s="17"/>
      <c r="AF265" s="17"/>
      <c r="AG265" s="17"/>
      <c r="AH265" s="17"/>
      <c r="AI265" s="17"/>
      <c r="AJ265" s="17"/>
      <c r="AK265" s="29"/>
    </row>
    <row r="266" spans="1:37" ht="9.9499999999999993">
      <c r="A266" s="29">
        <v>46266</v>
      </c>
      <c r="B266" s="22">
        <v>3393031</v>
      </c>
      <c r="C266" s="17" t="s">
        <v>410</v>
      </c>
      <c r="D266" s="17" t="s">
        <v>38</v>
      </c>
      <c r="E266" s="17" t="s">
        <v>38</v>
      </c>
      <c r="F266" s="17"/>
      <c r="G266" s="17" t="str">
        <f>Table1[[#This Row],[DESCRIPCION_POSICION]]</f>
        <v>Oficial de Oficios</v>
      </c>
      <c r="H266" s="17" t="s">
        <v>728</v>
      </c>
      <c r="I266" s="17" t="s">
        <v>40</v>
      </c>
      <c r="J266" s="17" t="s">
        <v>68</v>
      </c>
      <c r="K266" s="17" t="s">
        <v>73</v>
      </c>
      <c r="L266" s="36" t="s">
        <v>92</v>
      </c>
      <c r="M266" s="103"/>
      <c r="N266" s="38" t="s">
        <v>729</v>
      </c>
      <c r="O266" s="36" t="str">
        <f>VLOOKUP(L266,CECOs!A:B,2,0)</f>
        <v>Mtto Mecánico FP</v>
      </c>
      <c r="P266" s="17" t="str">
        <f>VLOOKUP(B:B,CECOs!G:I,3,FALSE)</f>
        <v>Mecánicos,engraseyflota</v>
      </c>
      <c r="Q266" s="17" t="str">
        <f>IF(_xlfn.XLOOKUP(L266,CECOs!A:A,CECOs!C:C,"")="",K266,_xlfn.XLOOKUP(L266,CECOs!A:A,CECOs!C:C,""))</f>
        <v>CORDOVA, DANIELA / ALTAMIRANDA, LEANDRO</v>
      </c>
      <c r="R266" s="17" t="s">
        <v>38</v>
      </c>
      <c r="S266" s="17" t="s">
        <v>45</v>
      </c>
      <c r="T266" s="17" t="s">
        <v>57</v>
      </c>
      <c r="U266" s="17" t="s">
        <v>94</v>
      </c>
      <c r="V266" s="17" t="s">
        <v>95</v>
      </c>
      <c r="W266" s="17"/>
      <c r="X266" s="17"/>
      <c r="Y266" s="17"/>
      <c r="Z266" s="17"/>
      <c r="AA266" s="17"/>
      <c r="AB266" s="17" t="s">
        <v>49</v>
      </c>
      <c r="AC266" s="17"/>
      <c r="AD266" s="17" t="s">
        <v>50</v>
      </c>
      <c r="AE266" s="17"/>
      <c r="AF266" s="17"/>
      <c r="AG266" s="17"/>
      <c r="AH266" s="17"/>
      <c r="AI266" s="17"/>
      <c r="AJ266" s="17"/>
      <c r="AK266" s="29"/>
    </row>
    <row r="267" spans="1:37" ht="9.9499999999999993">
      <c r="A267" s="29">
        <v>46266</v>
      </c>
      <c r="B267" s="22">
        <v>3393033</v>
      </c>
      <c r="C267" s="17" t="s">
        <v>402</v>
      </c>
      <c r="D267" s="17" t="s">
        <v>38</v>
      </c>
      <c r="E267" s="17" t="s">
        <v>38</v>
      </c>
      <c r="F267" s="17"/>
      <c r="G267" s="17" t="str">
        <f>Table1[[#This Row],[DESCRIPCION_POSICION]]</f>
        <v>Operador Principal de Cuadrilla</v>
      </c>
      <c r="H267" s="17" t="s">
        <v>730</v>
      </c>
      <c r="I267" s="17" t="s">
        <v>40</v>
      </c>
      <c r="J267" s="17" t="s">
        <v>68</v>
      </c>
      <c r="K267" s="17" t="s">
        <v>73</v>
      </c>
      <c r="L267" s="36" t="s">
        <v>92</v>
      </c>
      <c r="M267" s="103"/>
      <c r="N267" s="38" t="s">
        <v>731</v>
      </c>
      <c r="O267" s="36" t="str">
        <f>VLOOKUP(L267,CECOs!A:B,2,0)</f>
        <v>Mtto Mecánico FP</v>
      </c>
      <c r="P267" s="17" t="str">
        <f>VLOOKUP(B:B,CECOs!G:I,3,FALSE)</f>
        <v>Relevomantenimiento</v>
      </c>
      <c r="Q267" s="17" t="str">
        <f>IF(_xlfn.XLOOKUP(L267,CECOs!A:A,CECOs!C:C,"")="",K267,_xlfn.XLOOKUP(L267,CECOs!A:A,CECOs!C:C,""))</f>
        <v>CORDOVA, DANIELA / ALTAMIRANDA, LEANDRO</v>
      </c>
      <c r="R267" s="17" t="s">
        <v>38</v>
      </c>
      <c r="S267" s="17" t="s">
        <v>45</v>
      </c>
      <c r="T267" s="17" t="s">
        <v>57</v>
      </c>
      <c r="U267" s="17" t="s">
        <v>94</v>
      </c>
      <c r="V267" s="17" t="s">
        <v>95</v>
      </c>
      <c r="W267" s="17"/>
      <c r="X267" s="17"/>
      <c r="Y267" s="17"/>
      <c r="Z267" s="17"/>
      <c r="AA267" s="17"/>
      <c r="AB267" s="17" t="s">
        <v>49</v>
      </c>
      <c r="AC267" s="17"/>
      <c r="AD267" s="17" t="s">
        <v>50</v>
      </c>
      <c r="AE267" s="17"/>
      <c r="AF267" s="17"/>
      <c r="AG267" s="17"/>
      <c r="AH267" s="17"/>
      <c r="AI267" s="17"/>
      <c r="AJ267" s="17"/>
      <c r="AK267" s="29"/>
    </row>
    <row r="268" spans="1:37" ht="9.9499999999999993">
      <c r="A268" s="29">
        <v>46266</v>
      </c>
      <c r="B268" s="22">
        <v>3393034</v>
      </c>
      <c r="C268" s="17" t="s">
        <v>402</v>
      </c>
      <c r="D268" s="17" t="s">
        <v>38</v>
      </c>
      <c r="E268" s="17" t="s">
        <v>38</v>
      </c>
      <c r="F268" s="17"/>
      <c r="G268" s="17" t="str">
        <f>Table1[[#This Row],[DESCRIPCION_POSICION]]</f>
        <v>Operador Principal de Cuadrilla</v>
      </c>
      <c r="H268" s="17" t="s">
        <v>732</v>
      </c>
      <c r="I268" s="17" t="s">
        <v>40</v>
      </c>
      <c r="J268" s="17" t="s">
        <v>68</v>
      </c>
      <c r="K268" s="17" t="s">
        <v>73</v>
      </c>
      <c r="L268" s="36" t="s">
        <v>428</v>
      </c>
      <c r="M268" s="103"/>
      <c r="N268" s="38" t="s">
        <v>733</v>
      </c>
      <c r="O268" s="36" t="str">
        <f>VLOOKUP(L268,CECOs!A:B,2,0)</f>
        <v>Soldadura FP</v>
      </c>
      <c r="P268" s="17" t="str">
        <f>VLOOKUP(B:B,CECOs!G:I,3,FALSE)</f>
        <v>Cuadrillasoldadura-CañistaO&amp;M</v>
      </c>
      <c r="Q268" s="17" t="str">
        <f>IF(_xlfn.XLOOKUP(L268,CECOs!A:A,CECOs!C:C,"")="",K268,_xlfn.XLOOKUP(L268,CECOs!A:A,CECOs!C:C,""))</f>
        <v>CORDOVA, DANIELA / ALTAMIRANDA, LEANDRO</v>
      </c>
      <c r="R268" s="17" t="s">
        <v>38</v>
      </c>
      <c r="S268" s="17" t="s">
        <v>45</v>
      </c>
      <c r="T268" s="17" t="s">
        <v>57</v>
      </c>
      <c r="U268" s="17" t="s">
        <v>94</v>
      </c>
      <c r="V268" s="17" t="s">
        <v>95</v>
      </c>
      <c r="W268" s="17"/>
      <c r="X268" s="17"/>
      <c r="Y268" s="17"/>
      <c r="Z268" s="17"/>
      <c r="AA268" s="17"/>
      <c r="AB268" s="17" t="s">
        <v>49</v>
      </c>
      <c r="AC268" s="17"/>
      <c r="AD268" s="17" t="s">
        <v>50</v>
      </c>
      <c r="AE268" s="17"/>
      <c r="AF268" s="17"/>
      <c r="AG268" s="17"/>
      <c r="AH268" s="17"/>
      <c r="AI268" s="17"/>
      <c r="AJ268" s="17"/>
      <c r="AK268" s="29"/>
    </row>
    <row r="269" spans="1:37" ht="9.9499999999999993">
      <c r="A269" s="29">
        <v>46266</v>
      </c>
      <c r="B269" s="22">
        <v>3393035</v>
      </c>
      <c r="C269" s="17" t="s">
        <v>90</v>
      </c>
      <c r="D269" s="17" t="s">
        <v>38</v>
      </c>
      <c r="E269" s="17" t="s">
        <v>38</v>
      </c>
      <c r="F269" s="17"/>
      <c r="G269" s="17" t="str">
        <f>Table1[[#This Row],[DESCRIPCION_POSICION]]</f>
        <v>Oficial Especializado de Oficios</v>
      </c>
      <c r="H269" s="17" t="s">
        <v>734</v>
      </c>
      <c r="I269" s="17" t="s">
        <v>40</v>
      </c>
      <c r="J269" s="17" t="s">
        <v>68</v>
      </c>
      <c r="K269" s="17" t="s">
        <v>73</v>
      </c>
      <c r="L269" s="36" t="s">
        <v>428</v>
      </c>
      <c r="M269" s="103"/>
      <c r="N269" s="38" t="s">
        <v>735</v>
      </c>
      <c r="O269" s="36" t="str">
        <f>VLOOKUP(L269,CECOs!A:B,2,0)</f>
        <v>Soldadura FP</v>
      </c>
      <c r="P269" s="17" t="str">
        <f>VLOOKUP(B:B,CECOs!G:I,3,FALSE)</f>
        <v>Cuadrillasoldadura-SoldadorO&amp;M</v>
      </c>
      <c r="Q269" s="17" t="str">
        <f>IF(_xlfn.XLOOKUP(L269,CECOs!A:A,CECOs!C:C,"")="",K269,_xlfn.XLOOKUP(L269,CECOs!A:A,CECOs!C:C,""))</f>
        <v>CORDOVA, DANIELA / ALTAMIRANDA, LEANDRO</v>
      </c>
      <c r="R269" s="17" t="s">
        <v>38</v>
      </c>
      <c r="S269" s="17" t="s">
        <v>45</v>
      </c>
      <c r="T269" s="17" t="s">
        <v>57</v>
      </c>
      <c r="U269" s="17" t="s">
        <v>94</v>
      </c>
      <c r="V269" s="17" t="s">
        <v>95</v>
      </c>
      <c r="W269" s="17"/>
      <c r="X269" s="17"/>
      <c r="Y269" s="17"/>
      <c r="Z269" s="17"/>
      <c r="AA269" s="17"/>
      <c r="AB269" s="17" t="s">
        <v>49</v>
      </c>
      <c r="AC269" s="17"/>
      <c r="AD269" s="17" t="s">
        <v>50</v>
      </c>
      <c r="AE269" s="17"/>
      <c r="AF269" s="17"/>
      <c r="AG269" s="17"/>
      <c r="AH269" s="17"/>
      <c r="AI269" s="17"/>
      <c r="AJ269" s="17"/>
      <c r="AK269" s="29"/>
    </row>
    <row r="270" spans="1:37" ht="9.9499999999999993">
      <c r="A270" s="29">
        <v>46266</v>
      </c>
      <c r="B270" s="22">
        <v>3393036</v>
      </c>
      <c r="C270" s="17" t="s">
        <v>410</v>
      </c>
      <c r="D270" s="17" t="s">
        <v>38</v>
      </c>
      <c r="E270" s="17" t="s">
        <v>38</v>
      </c>
      <c r="F270" s="17"/>
      <c r="G270" s="17" t="str">
        <f>Table1[[#This Row],[DESCRIPCION_POSICION]]</f>
        <v>Oficial de Oficios</v>
      </c>
      <c r="H270" s="17" t="s">
        <v>736</v>
      </c>
      <c r="I270" s="17" t="s">
        <v>40</v>
      </c>
      <c r="J270" s="17" t="s">
        <v>68</v>
      </c>
      <c r="K270" s="17" t="s">
        <v>73</v>
      </c>
      <c r="L270" s="36" t="s">
        <v>428</v>
      </c>
      <c r="M270" s="103"/>
      <c r="N270" s="38" t="s">
        <v>737</v>
      </c>
      <c r="O270" s="36" t="str">
        <f>VLOOKUP(L270,CECOs!A:B,2,0)</f>
        <v>Soldadura FP</v>
      </c>
      <c r="P270" s="17" t="str">
        <f>VLOOKUP(B:B,CECOs!G:I,3,FALSE)</f>
        <v>Cuadrillasoldadura-AmoladorO&amp;M</v>
      </c>
      <c r="Q270" s="17" t="str">
        <f>IF(_xlfn.XLOOKUP(L270,CECOs!A:A,CECOs!C:C,"")="",K270,_xlfn.XLOOKUP(L270,CECOs!A:A,CECOs!C:C,""))</f>
        <v>CORDOVA, DANIELA / ALTAMIRANDA, LEANDRO</v>
      </c>
      <c r="R270" s="17" t="s">
        <v>38</v>
      </c>
      <c r="S270" s="17" t="s">
        <v>45</v>
      </c>
      <c r="T270" s="17" t="s">
        <v>57</v>
      </c>
      <c r="U270" s="17" t="s">
        <v>94</v>
      </c>
      <c r="V270" s="17" t="s">
        <v>95</v>
      </c>
      <c r="W270" s="17"/>
      <c r="X270" s="17"/>
      <c r="Y270" s="17"/>
      <c r="Z270" s="17"/>
      <c r="AA270" s="17"/>
      <c r="AB270" s="17" t="s">
        <v>49</v>
      </c>
      <c r="AC270" s="17"/>
      <c r="AD270" s="17" t="s">
        <v>50</v>
      </c>
      <c r="AE270" s="17"/>
      <c r="AF270" s="17"/>
      <c r="AG270" s="17"/>
      <c r="AH270" s="17"/>
      <c r="AI270" s="17"/>
      <c r="AJ270" s="17"/>
      <c r="AK270" s="29"/>
    </row>
    <row r="271" spans="1:37" ht="9.9499999999999993">
      <c r="A271" s="29">
        <v>46266</v>
      </c>
      <c r="B271" s="22">
        <v>3393037</v>
      </c>
      <c r="C271" s="17" t="s">
        <v>402</v>
      </c>
      <c r="D271" s="17" t="s">
        <v>38</v>
      </c>
      <c r="E271" s="17" t="s">
        <v>38</v>
      </c>
      <c r="F271" s="17"/>
      <c r="G271" s="17" t="str">
        <f>Table1[[#This Row],[DESCRIPCION_POSICION]]</f>
        <v>Operador Principal de Cuadrilla</v>
      </c>
      <c r="H271" s="17" t="s">
        <v>738</v>
      </c>
      <c r="I271" s="17" t="s">
        <v>40</v>
      </c>
      <c r="J271" s="17" t="s">
        <v>68</v>
      </c>
      <c r="K271" s="17" t="s">
        <v>73</v>
      </c>
      <c r="L271" s="36" t="s">
        <v>428</v>
      </c>
      <c r="M271" s="103"/>
      <c r="N271" s="38" t="s">
        <v>739</v>
      </c>
      <c r="O271" s="36" t="str">
        <f>VLOOKUP(L271,CECOs!A:B,2,0)</f>
        <v>Soldadura FP</v>
      </c>
      <c r="P271" s="17" t="str">
        <f>VLOOKUP(B:B,CECOs!G:I,3,FALSE)</f>
        <v>Cuadrillasoldadura-CañistaO&amp;M</v>
      </c>
      <c r="Q271" s="17" t="str">
        <f>IF(_xlfn.XLOOKUP(L271,CECOs!A:A,CECOs!C:C,"")="",K271,_xlfn.XLOOKUP(L271,CECOs!A:A,CECOs!C:C,""))</f>
        <v>CORDOVA, DANIELA / ALTAMIRANDA, LEANDRO</v>
      </c>
      <c r="R271" s="17" t="s">
        <v>38</v>
      </c>
      <c r="S271" s="17" t="s">
        <v>45</v>
      </c>
      <c r="T271" s="17" t="s">
        <v>57</v>
      </c>
      <c r="U271" s="17" t="s">
        <v>94</v>
      </c>
      <c r="V271" s="17" t="s">
        <v>95</v>
      </c>
      <c r="W271" s="17"/>
      <c r="X271" s="17"/>
      <c r="Y271" s="17"/>
      <c r="Z271" s="17"/>
      <c r="AA271" s="17"/>
      <c r="AB271" s="17" t="s">
        <v>49</v>
      </c>
      <c r="AC271" s="17"/>
      <c r="AD271" s="17" t="s">
        <v>50</v>
      </c>
      <c r="AE271" s="17"/>
      <c r="AF271" s="17"/>
      <c r="AG271" s="17"/>
      <c r="AH271" s="17"/>
      <c r="AI271" s="17"/>
      <c r="AJ271" s="17"/>
      <c r="AK271" s="29"/>
    </row>
    <row r="272" spans="1:37" ht="9.9499999999999993">
      <c r="A272" s="29">
        <v>46266</v>
      </c>
      <c r="B272" s="22">
        <v>3393038</v>
      </c>
      <c r="C272" s="17" t="s">
        <v>90</v>
      </c>
      <c r="D272" s="17" t="s">
        <v>38</v>
      </c>
      <c r="E272" s="17" t="s">
        <v>38</v>
      </c>
      <c r="F272" s="17"/>
      <c r="G272" s="17" t="str">
        <f>Table1[[#This Row],[DESCRIPCION_POSICION]]</f>
        <v>Oficial Especializado de Oficios</v>
      </c>
      <c r="H272" s="17" t="s">
        <v>740</v>
      </c>
      <c r="I272" s="17" t="s">
        <v>40</v>
      </c>
      <c r="J272" s="17" t="s">
        <v>68</v>
      </c>
      <c r="K272" s="17" t="s">
        <v>73</v>
      </c>
      <c r="L272" s="36" t="s">
        <v>428</v>
      </c>
      <c r="M272" s="103"/>
      <c r="N272" s="38" t="s">
        <v>741</v>
      </c>
      <c r="O272" s="36" t="str">
        <f>VLOOKUP(L272,CECOs!A:B,2,0)</f>
        <v>Soldadura FP</v>
      </c>
      <c r="P272" s="17" t="str">
        <f>VLOOKUP(B:B,CECOs!G:I,3,FALSE)</f>
        <v>Cuadrillasoldadura-SoldadorO&amp;M</v>
      </c>
      <c r="Q272" s="17" t="str">
        <f>IF(_xlfn.XLOOKUP(L272,CECOs!A:A,CECOs!C:C,"")="",K272,_xlfn.XLOOKUP(L272,CECOs!A:A,CECOs!C:C,""))</f>
        <v>CORDOVA, DANIELA / ALTAMIRANDA, LEANDRO</v>
      </c>
      <c r="R272" s="17" t="s">
        <v>38</v>
      </c>
      <c r="S272" s="17" t="s">
        <v>45</v>
      </c>
      <c r="T272" s="17" t="s">
        <v>57</v>
      </c>
      <c r="U272" s="17" t="s">
        <v>94</v>
      </c>
      <c r="V272" s="17" t="s">
        <v>95</v>
      </c>
      <c r="W272" s="17"/>
      <c r="X272" s="17"/>
      <c r="Y272" s="17"/>
      <c r="Z272" s="17"/>
      <c r="AA272" s="17"/>
      <c r="AB272" s="17" t="s">
        <v>49</v>
      </c>
      <c r="AC272" s="17"/>
      <c r="AD272" s="17" t="s">
        <v>50</v>
      </c>
      <c r="AE272" s="17"/>
      <c r="AF272" s="17"/>
      <c r="AG272" s="17"/>
      <c r="AH272" s="17"/>
      <c r="AI272" s="17"/>
      <c r="AJ272" s="17"/>
      <c r="AK272" s="29"/>
    </row>
    <row r="273" spans="1:37" ht="9.9499999999999993">
      <c r="A273" s="29">
        <v>46266</v>
      </c>
      <c r="B273" s="22">
        <v>3393039</v>
      </c>
      <c r="C273" s="17" t="s">
        <v>410</v>
      </c>
      <c r="D273" s="17" t="s">
        <v>38</v>
      </c>
      <c r="E273" s="17" t="s">
        <v>38</v>
      </c>
      <c r="F273" s="17"/>
      <c r="G273" s="17" t="str">
        <f>Table1[[#This Row],[DESCRIPCION_POSICION]]</f>
        <v>Oficial de Oficios</v>
      </c>
      <c r="H273" s="17" t="s">
        <v>742</v>
      </c>
      <c r="I273" s="17" t="s">
        <v>40</v>
      </c>
      <c r="J273" s="17" t="s">
        <v>68</v>
      </c>
      <c r="K273" s="17" t="s">
        <v>73</v>
      </c>
      <c r="L273" s="36" t="s">
        <v>428</v>
      </c>
      <c r="M273" s="103"/>
      <c r="N273" s="38" t="s">
        <v>743</v>
      </c>
      <c r="O273" s="36" t="str">
        <f>VLOOKUP(L273,CECOs!A:B,2,0)</f>
        <v>Soldadura FP</v>
      </c>
      <c r="P273" s="17" t="str">
        <f>VLOOKUP(B:B,CECOs!G:I,3,FALSE)</f>
        <v>Cuadrillasoldadura-AmoladorO&amp;M</v>
      </c>
      <c r="Q273" s="17" t="str">
        <f>IF(_xlfn.XLOOKUP(L273,CECOs!A:A,CECOs!C:C,"")="",K273,_xlfn.XLOOKUP(L273,CECOs!A:A,CECOs!C:C,""))</f>
        <v>CORDOVA, DANIELA / ALTAMIRANDA, LEANDRO</v>
      </c>
      <c r="R273" s="17" t="s">
        <v>38</v>
      </c>
      <c r="S273" s="17" t="s">
        <v>45</v>
      </c>
      <c r="T273" s="17" t="s">
        <v>57</v>
      </c>
      <c r="U273" s="17" t="s">
        <v>94</v>
      </c>
      <c r="V273" s="17" t="s">
        <v>95</v>
      </c>
      <c r="W273" s="17"/>
      <c r="X273" s="17"/>
      <c r="Y273" s="17"/>
      <c r="Z273" s="17"/>
      <c r="AA273" s="17"/>
      <c r="AB273" s="17" t="s">
        <v>49</v>
      </c>
      <c r="AC273" s="17"/>
      <c r="AD273" s="17" t="s">
        <v>50</v>
      </c>
      <c r="AE273" s="17"/>
      <c r="AF273" s="17"/>
      <c r="AG273" s="17"/>
      <c r="AH273" s="17"/>
      <c r="AI273" s="17"/>
      <c r="AJ273" s="17"/>
      <c r="AK273" s="29"/>
    </row>
    <row r="274" spans="1:37" ht="9.9499999999999993">
      <c r="A274" s="29">
        <v>46266</v>
      </c>
      <c r="B274" s="22">
        <v>3393040</v>
      </c>
      <c r="C274" s="17" t="s">
        <v>90</v>
      </c>
      <c r="D274" s="17" t="s">
        <v>38</v>
      </c>
      <c r="E274" s="17" t="s">
        <v>38</v>
      </c>
      <c r="F274" s="17"/>
      <c r="G274" s="17" t="str">
        <f>Table1[[#This Row],[DESCRIPCION_POSICION]]</f>
        <v>Oficial Especializado de Oficios</v>
      </c>
      <c r="H274" s="17" t="s">
        <v>744</v>
      </c>
      <c r="I274" s="17" t="s">
        <v>40</v>
      </c>
      <c r="J274" s="17" t="s">
        <v>68</v>
      </c>
      <c r="K274" s="17" t="s">
        <v>73</v>
      </c>
      <c r="L274" s="36" t="s">
        <v>745</v>
      </c>
      <c r="M274" s="103"/>
      <c r="N274" s="38" t="s">
        <v>746</v>
      </c>
      <c r="O274" s="36" t="str">
        <f>VLOOKUP(L274,CECOs!A:B,2,0)</f>
        <v>Compresión FP</v>
      </c>
      <c r="P274" s="17" t="str">
        <f>VLOOKUP(B:B,CECOs!G:I,3,FALSE)</f>
        <v>MecánicosCompresión</v>
      </c>
      <c r="Q274" s="17" t="str">
        <f>IF(_xlfn.XLOOKUP(L274,CECOs!A:A,CECOs!C:C,"")="",K274,_xlfn.XLOOKUP(L274,CECOs!A:A,CECOs!C:C,""))</f>
        <v>CORDOVA, DANIELA / ALTAMIRANDA, LEANDRO</v>
      </c>
      <c r="R274" s="17" t="s">
        <v>38</v>
      </c>
      <c r="S274" s="17" t="s">
        <v>45</v>
      </c>
      <c r="T274" s="17" t="s">
        <v>57</v>
      </c>
      <c r="U274" s="17" t="s">
        <v>94</v>
      </c>
      <c r="V274" s="17" t="s">
        <v>95</v>
      </c>
      <c r="W274" s="17"/>
      <c r="X274" s="17"/>
      <c r="Y274" s="17"/>
      <c r="Z274" s="17"/>
      <c r="AA274" s="17"/>
      <c r="AB274" s="17" t="s">
        <v>49</v>
      </c>
      <c r="AC274" s="17"/>
      <c r="AD274" s="17" t="s">
        <v>50</v>
      </c>
      <c r="AE274" s="17"/>
      <c r="AF274" s="17"/>
      <c r="AG274" s="17"/>
      <c r="AH274" s="17"/>
      <c r="AI274" s="17"/>
      <c r="AJ274" s="17"/>
      <c r="AK274" s="29"/>
    </row>
    <row r="275" spans="1:37" ht="9.9499999999999993">
      <c r="A275" s="29">
        <v>46266</v>
      </c>
      <c r="B275" s="22">
        <v>3393041</v>
      </c>
      <c r="C275" s="17" t="s">
        <v>90</v>
      </c>
      <c r="D275" s="17" t="s">
        <v>38</v>
      </c>
      <c r="E275" s="17" t="s">
        <v>38</v>
      </c>
      <c r="F275" s="17"/>
      <c r="G275" s="17" t="str">
        <f>Table1[[#This Row],[DESCRIPCION_POSICION]]</f>
        <v>Oficial Especializado de Oficios</v>
      </c>
      <c r="H275" s="49"/>
      <c r="I275" s="17" t="s">
        <v>40</v>
      </c>
      <c r="J275" s="17" t="s">
        <v>68</v>
      </c>
      <c r="K275" s="17" t="s">
        <v>73</v>
      </c>
      <c r="L275" s="36" t="s">
        <v>745</v>
      </c>
      <c r="N275" s="47" t="s">
        <v>747</v>
      </c>
      <c r="O275" s="36" t="str">
        <f>VLOOKUP(L275,CECOs!A:B,2,0)</f>
        <v>Compresión FP</v>
      </c>
      <c r="P275" s="17" t="str">
        <f>VLOOKUP(B:B,CECOs!G:I,3,FALSE)</f>
        <v>Instrumentista</v>
      </c>
      <c r="Q275" s="17" t="str">
        <f>IF(_xlfn.XLOOKUP(L275,CECOs!A:A,CECOs!C:C,"")="",K275,_xlfn.XLOOKUP(L275,CECOs!A:A,CECOs!C:C,""))</f>
        <v>CORDOVA, DANIELA / ALTAMIRANDA, LEANDRO</v>
      </c>
      <c r="R275" s="17" t="s">
        <v>38</v>
      </c>
      <c r="S275" s="17" t="s">
        <v>45</v>
      </c>
      <c r="T275" s="17" t="s">
        <v>57</v>
      </c>
      <c r="U275" s="17" t="s">
        <v>94</v>
      </c>
      <c r="V275" s="17" t="s">
        <v>95</v>
      </c>
      <c r="W275" s="17"/>
      <c r="X275" s="17"/>
      <c r="Y275" s="17"/>
      <c r="Z275" s="17"/>
      <c r="AA275" s="17"/>
      <c r="AB275" s="17" t="s">
        <v>49</v>
      </c>
      <c r="AC275" s="17"/>
      <c r="AD275" s="17" t="s">
        <v>50</v>
      </c>
      <c r="AE275" s="17"/>
      <c r="AF275" s="17"/>
      <c r="AG275" s="17"/>
      <c r="AH275" s="17"/>
      <c r="AI275" s="17"/>
      <c r="AJ275" s="17"/>
      <c r="AK275" s="29"/>
    </row>
    <row r="276" spans="1:37" ht="9.9499999999999993">
      <c r="A276" s="29">
        <v>46266</v>
      </c>
      <c r="B276" s="22">
        <v>3393042</v>
      </c>
      <c r="C276" s="17" t="s">
        <v>90</v>
      </c>
      <c r="D276" s="17" t="s">
        <v>38</v>
      </c>
      <c r="E276" s="17" t="s">
        <v>38</v>
      </c>
      <c r="F276" s="17"/>
      <c r="G276" s="17" t="str">
        <f>Table1[[#This Row],[DESCRIPCION_POSICION]]</f>
        <v>Oficial Especializado de Oficios</v>
      </c>
      <c r="H276" s="52" t="s">
        <v>748</v>
      </c>
      <c r="I276" s="17" t="s">
        <v>40</v>
      </c>
      <c r="J276" s="17" t="s">
        <v>68</v>
      </c>
      <c r="K276" s="17" t="s">
        <v>73</v>
      </c>
      <c r="L276" s="36" t="s">
        <v>745</v>
      </c>
      <c r="M276" s="103"/>
      <c r="N276" s="38" t="s">
        <v>749</v>
      </c>
      <c r="O276" s="36" t="str">
        <f>VLOOKUP(L276,CECOs!A:B,2,0)</f>
        <v>Compresión FP</v>
      </c>
      <c r="P276" s="17" t="str">
        <f>VLOOKUP(B:B,CECOs!G:I,3,FALSE)</f>
        <v>MecánicosCompresión</v>
      </c>
      <c r="Q276" s="17" t="str">
        <f>IF(_xlfn.XLOOKUP(L276,CECOs!A:A,CECOs!C:C,"")="",K276,_xlfn.XLOOKUP(L276,CECOs!A:A,CECOs!C:C,""))</f>
        <v>CORDOVA, DANIELA / ALTAMIRANDA, LEANDRO</v>
      </c>
      <c r="R276" s="17" t="s">
        <v>38</v>
      </c>
      <c r="S276" s="17" t="s">
        <v>45</v>
      </c>
      <c r="T276" s="17" t="s">
        <v>57</v>
      </c>
      <c r="U276" s="17" t="s">
        <v>94</v>
      </c>
      <c r="V276" s="17" t="s">
        <v>95</v>
      </c>
      <c r="W276" s="17"/>
      <c r="X276" s="17"/>
      <c r="Y276" s="17"/>
      <c r="Z276" s="17"/>
      <c r="AA276" s="17"/>
      <c r="AB276" s="17" t="s">
        <v>49</v>
      </c>
      <c r="AC276" s="17"/>
      <c r="AD276" s="17" t="s">
        <v>50</v>
      </c>
      <c r="AE276" s="17"/>
      <c r="AF276" s="17"/>
      <c r="AG276" s="17"/>
      <c r="AH276" s="17"/>
      <c r="AI276" s="17"/>
      <c r="AJ276" s="17"/>
      <c r="AK276" s="29"/>
    </row>
    <row r="277" spans="1:37" ht="9.9499999999999993">
      <c r="A277" s="29">
        <v>46266</v>
      </c>
      <c r="B277" s="22">
        <v>3393043</v>
      </c>
      <c r="C277" s="17" t="s">
        <v>90</v>
      </c>
      <c r="D277" s="17" t="s">
        <v>38</v>
      </c>
      <c r="E277" s="17" t="s">
        <v>38</v>
      </c>
      <c r="F277" s="17"/>
      <c r="G277" s="17" t="str">
        <f>Table1[[#This Row],[DESCRIPCION_POSICION]]</f>
        <v>Oficial Especializado de Oficios</v>
      </c>
      <c r="H277" s="17" t="s">
        <v>750</v>
      </c>
      <c r="I277" s="17" t="s">
        <v>40</v>
      </c>
      <c r="J277" s="17" t="s">
        <v>68</v>
      </c>
      <c r="K277" s="17" t="s">
        <v>73</v>
      </c>
      <c r="L277" s="36" t="s">
        <v>745</v>
      </c>
      <c r="M277" s="103"/>
      <c r="N277" s="38" t="s">
        <v>751</v>
      </c>
      <c r="O277" s="36" t="str">
        <f>VLOOKUP(L277,CECOs!A:B,2,0)</f>
        <v>Compresión FP</v>
      </c>
      <c r="P277" s="17" t="str">
        <f>VLOOKUP(B:B,CECOs!G:I,3,FALSE)</f>
        <v>MecánicosCompresión</v>
      </c>
      <c r="Q277" s="17" t="str">
        <f>IF(_xlfn.XLOOKUP(L277,CECOs!A:A,CECOs!C:C,"")="",K277,_xlfn.XLOOKUP(L277,CECOs!A:A,CECOs!C:C,""))</f>
        <v>CORDOVA, DANIELA / ALTAMIRANDA, LEANDRO</v>
      </c>
      <c r="R277" s="17" t="s">
        <v>38</v>
      </c>
      <c r="S277" s="17" t="s">
        <v>45</v>
      </c>
      <c r="T277" s="17" t="s">
        <v>57</v>
      </c>
      <c r="U277" s="17" t="s">
        <v>94</v>
      </c>
      <c r="V277" s="17" t="s">
        <v>95</v>
      </c>
      <c r="W277" s="17"/>
      <c r="X277" s="17"/>
      <c r="Y277" s="17"/>
      <c r="Z277" s="17"/>
      <c r="AA277" s="17"/>
      <c r="AB277" s="17" t="s">
        <v>49</v>
      </c>
      <c r="AC277" s="17"/>
      <c r="AD277" s="17" t="s">
        <v>50</v>
      </c>
      <c r="AE277" s="17"/>
      <c r="AF277" s="17"/>
      <c r="AG277" s="17"/>
      <c r="AH277" s="17"/>
      <c r="AI277" s="17"/>
      <c r="AJ277" s="17"/>
      <c r="AK277" s="29"/>
    </row>
    <row r="278" spans="1:37" ht="9.9499999999999993">
      <c r="A278" s="29">
        <v>46266</v>
      </c>
      <c r="B278" s="22">
        <v>3393044</v>
      </c>
      <c r="C278" s="17" t="s">
        <v>410</v>
      </c>
      <c r="D278" s="17" t="s">
        <v>38</v>
      </c>
      <c r="E278" s="17" t="s">
        <v>38</v>
      </c>
      <c r="F278" s="17"/>
      <c r="G278" s="17" t="str">
        <f>Table1[[#This Row],[DESCRIPCION_POSICION]]</f>
        <v>Oficial de Oficios</v>
      </c>
      <c r="H278" s="53" t="s">
        <v>752</v>
      </c>
      <c r="I278" s="17" t="s">
        <v>40</v>
      </c>
      <c r="J278" s="17" t="s">
        <v>68</v>
      </c>
      <c r="K278" s="17" t="s">
        <v>73</v>
      </c>
      <c r="L278" s="36" t="s">
        <v>745</v>
      </c>
      <c r="M278" s="103"/>
      <c r="N278" s="37" t="s">
        <v>753</v>
      </c>
      <c r="O278" s="36" t="str">
        <f>VLOOKUP(L278,CECOs!A:B,2,0)</f>
        <v>Compresión FP</v>
      </c>
      <c r="P278" s="17" t="str">
        <f>VLOOKUP(B:B,CECOs!G:I,3,FALSE)</f>
        <v>Relevomantenimiento</v>
      </c>
      <c r="Q278" s="17" t="str">
        <f>IF(_xlfn.XLOOKUP(L278,CECOs!A:A,CECOs!C:C,"")="",K278,_xlfn.XLOOKUP(L278,CECOs!A:A,CECOs!C:C,""))</f>
        <v>CORDOVA, DANIELA / ALTAMIRANDA, LEANDRO</v>
      </c>
      <c r="R278" s="17" t="s">
        <v>38</v>
      </c>
      <c r="S278" s="17" t="s">
        <v>45</v>
      </c>
      <c r="T278" s="17" t="s">
        <v>57</v>
      </c>
      <c r="U278" s="17" t="s">
        <v>94</v>
      </c>
      <c r="V278" s="17" t="s">
        <v>95</v>
      </c>
      <c r="W278" s="17"/>
      <c r="X278" s="17"/>
      <c r="Y278" s="17"/>
      <c r="Z278" s="17"/>
      <c r="AA278" s="17"/>
      <c r="AB278" s="17" t="s">
        <v>49</v>
      </c>
      <c r="AC278" s="17"/>
      <c r="AD278" s="17" t="s">
        <v>50</v>
      </c>
      <c r="AE278" s="17"/>
      <c r="AF278" s="17"/>
      <c r="AG278" s="17"/>
      <c r="AH278" s="17"/>
      <c r="AI278" s="17"/>
      <c r="AJ278" s="17"/>
      <c r="AK278" s="29"/>
    </row>
    <row r="279" spans="1:37" ht="9.9499999999999993">
      <c r="A279" s="29">
        <v>46266</v>
      </c>
      <c r="B279" s="22">
        <v>3393045</v>
      </c>
      <c r="C279" s="17" t="s">
        <v>754</v>
      </c>
      <c r="D279" s="17" t="s">
        <v>38</v>
      </c>
      <c r="E279" s="17" t="s">
        <v>38</v>
      </c>
      <c r="F279" s="17"/>
      <c r="G279" s="17" t="str">
        <f>Table1[[#This Row],[DESCRIPCION_POSICION]]</f>
        <v>Medio Oficial Sr. de Oficios</v>
      </c>
      <c r="H279" s="17" t="s">
        <v>755</v>
      </c>
      <c r="I279" s="17" t="s">
        <v>40</v>
      </c>
      <c r="J279" s="17" t="s">
        <v>68</v>
      </c>
      <c r="K279" s="17" t="s">
        <v>73</v>
      </c>
      <c r="L279" s="36" t="s">
        <v>606</v>
      </c>
      <c r="M279" s="103"/>
      <c r="N279" s="38" t="s">
        <v>756</v>
      </c>
      <c r="O279" s="36" t="str">
        <f>VLOOKUP(L279,CECOs!A:B,2,0)</f>
        <v>Tareas Generales Mtto FP</v>
      </c>
      <c r="P279" s="17" t="str">
        <f>VLOOKUP(B:B,CECOs!G:I,3,FALSE)</f>
        <v>Tareasgenerales</v>
      </c>
      <c r="Q279" s="17" t="str">
        <f>IF(_xlfn.XLOOKUP(L279,CECOs!A:A,CECOs!C:C,"")="",K279,_xlfn.XLOOKUP(L279,CECOs!A:A,CECOs!C:C,""))</f>
        <v>CORDOVA, DANIELA / ALTAMIRANDA, LEANDRO</v>
      </c>
      <c r="R279" s="17" t="s">
        <v>38</v>
      </c>
      <c r="S279" s="17" t="s">
        <v>45</v>
      </c>
      <c r="T279" s="17" t="s">
        <v>57</v>
      </c>
      <c r="U279" s="17" t="s">
        <v>94</v>
      </c>
      <c r="V279" s="17" t="s">
        <v>95</v>
      </c>
      <c r="W279" s="17"/>
      <c r="X279" s="17"/>
      <c r="Y279" s="17"/>
      <c r="Z279" s="17"/>
      <c r="AA279" s="17"/>
      <c r="AB279" s="17" t="s">
        <v>49</v>
      </c>
      <c r="AC279" s="17"/>
      <c r="AD279" s="17" t="s">
        <v>50</v>
      </c>
      <c r="AE279" s="17"/>
      <c r="AF279" s="17"/>
      <c r="AG279" s="17"/>
      <c r="AH279" s="17"/>
      <c r="AI279" s="17"/>
      <c r="AJ279" s="17"/>
      <c r="AK279" s="29"/>
    </row>
    <row r="280" spans="1:37" ht="9.9499999999999993">
      <c r="A280" s="29">
        <v>46266</v>
      </c>
      <c r="B280" s="22">
        <v>3393054</v>
      </c>
      <c r="C280" s="17" t="s">
        <v>757</v>
      </c>
      <c r="D280" s="17" t="s">
        <v>38</v>
      </c>
      <c r="E280" s="17" t="s">
        <v>38</v>
      </c>
      <c r="F280" s="17"/>
      <c r="G280" s="17" t="str">
        <f>Table1[[#This Row],[DESCRIPCION_POSICION]]</f>
        <v>Ayudante Jr. de Oficios</v>
      </c>
      <c r="H280" s="17" t="s">
        <v>758</v>
      </c>
      <c r="I280" s="17" t="s">
        <v>40</v>
      </c>
      <c r="J280" s="17" t="s">
        <v>68</v>
      </c>
      <c r="K280" s="17" t="s">
        <v>73</v>
      </c>
      <c r="L280" s="36" t="s">
        <v>759</v>
      </c>
      <c r="M280" s="103"/>
      <c r="N280" s="38" t="s">
        <v>760</v>
      </c>
      <c r="O280" s="36" t="str">
        <f>VLOOKUP(L280,CECOs!A:B,2,0)</f>
        <v>Engrase FP</v>
      </c>
      <c r="P280" s="17" t="str">
        <f>VLOOKUP(B:B,CECOs!G:I,3,FALSE)</f>
        <v>Mecánicos,engraseyflota</v>
      </c>
      <c r="Q280" s="17" t="str">
        <f>IF(_xlfn.XLOOKUP(L280,CECOs!A:A,CECOs!C:C,"")="",K280,_xlfn.XLOOKUP(L280,CECOs!A:A,CECOs!C:C,""))</f>
        <v>CORDOVA, DANIELA / ALTAMIRANDA, LEANDRO</v>
      </c>
      <c r="R280" s="17" t="s">
        <v>38</v>
      </c>
      <c r="S280" s="17" t="s">
        <v>45</v>
      </c>
      <c r="T280" s="17" t="s">
        <v>57</v>
      </c>
      <c r="U280" s="17" t="s">
        <v>94</v>
      </c>
      <c r="V280" s="17" t="s">
        <v>95</v>
      </c>
      <c r="W280" s="17"/>
      <c r="X280" s="17"/>
      <c r="Y280" s="17"/>
      <c r="Z280" s="17"/>
      <c r="AA280" s="17"/>
      <c r="AB280" s="17" t="s">
        <v>49</v>
      </c>
      <c r="AC280" s="17"/>
      <c r="AD280" s="17" t="s">
        <v>50</v>
      </c>
      <c r="AE280" s="17"/>
      <c r="AF280" s="17"/>
      <c r="AG280" s="17"/>
      <c r="AH280" s="17"/>
      <c r="AI280" s="17"/>
      <c r="AJ280" s="17"/>
      <c r="AK280" s="29"/>
    </row>
    <row r="281" spans="1:37" ht="9.9499999999999993">
      <c r="A281" s="29">
        <v>46266</v>
      </c>
      <c r="B281" s="22">
        <v>3393047</v>
      </c>
      <c r="C281" s="17" t="s">
        <v>410</v>
      </c>
      <c r="D281" s="17" t="s">
        <v>38</v>
      </c>
      <c r="E281" s="17" t="s">
        <v>38</v>
      </c>
      <c r="F281" s="17"/>
      <c r="G281" s="17" t="str">
        <f>Table1[[#This Row],[DESCRIPCION_POSICION]]</f>
        <v>Oficial de Oficios</v>
      </c>
      <c r="H281" s="17" t="s">
        <v>761</v>
      </c>
      <c r="I281" s="17" t="s">
        <v>40</v>
      </c>
      <c r="J281" s="17" t="s">
        <v>68</v>
      </c>
      <c r="K281" s="17" t="s">
        <v>73</v>
      </c>
      <c r="L281" s="36" t="s">
        <v>606</v>
      </c>
      <c r="M281" s="103"/>
      <c r="N281" s="38" t="s">
        <v>762</v>
      </c>
      <c r="O281" s="36" t="str">
        <f>VLOOKUP(L281,CECOs!A:B,2,0)</f>
        <v>Tareas Generales Mtto FP</v>
      </c>
      <c r="P281" s="17" t="str">
        <f>VLOOKUP(B:B,CECOs!G:I,3,FALSE)</f>
        <v>Tareasgenerales</v>
      </c>
      <c r="Q281" s="17" t="str">
        <f>IF(_xlfn.XLOOKUP(L281,CECOs!A:A,CECOs!C:C,"")="",K281,_xlfn.XLOOKUP(L281,CECOs!A:A,CECOs!C:C,""))</f>
        <v>CORDOVA, DANIELA / ALTAMIRANDA, LEANDRO</v>
      </c>
      <c r="R281" s="17" t="s">
        <v>38</v>
      </c>
      <c r="S281" s="17" t="s">
        <v>45</v>
      </c>
      <c r="T281" s="17" t="s">
        <v>57</v>
      </c>
      <c r="U281" s="17" t="s">
        <v>94</v>
      </c>
      <c r="V281" s="17" t="s">
        <v>95</v>
      </c>
      <c r="W281" s="17"/>
      <c r="X281" s="17"/>
      <c r="Y281" s="17"/>
      <c r="Z281" s="17"/>
      <c r="AA281" s="17"/>
      <c r="AB281" s="17" t="s">
        <v>49</v>
      </c>
      <c r="AC281" s="17"/>
      <c r="AD281" s="17" t="s">
        <v>50</v>
      </c>
      <c r="AE281" s="17"/>
      <c r="AF281" s="17"/>
      <c r="AG281" s="17"/>
      <c r="AH281" s="17"/>
      <c r="AI281" s="17"/>
      <c r="AJ281" s="17"/>
      <c r="AK281" s="29"/>
    </row>
    <row r="282" spans="1:37" ht="9.9499999999999993">
      <c r="A282" s="29">
        <v>46266</v>
      </c>
      <c r="B282" s="22">
        <v>3393048</v>
      </c>
      <c r="C282" s="17" t="s">
        <v>422</v>
      </c>
      <c r="D282" s="17" t="s">
        <v>38</v>
      </c>
      <c r="E282" s="17" t="s">
        <v>38</v>
      </c>
      <c r="F282" s="17"/>
      <c r="G282" s="17" t="str">
        <f>Table1[[#This Row],[DESCRIPCION_POSICION]]</f>
        <v>Oficial Sr. de Oficios</v>
      </c>
      <c r="H282" s="17" t="s">
        <v>763</v>
      </c>
      <c r="I282" s="17" t="s">
        <v>40</v>
      </c>
      <c r="J282" s="17" t="s">
        <v>68</v>
      </c>
      <c r="K282" s="17" t="s">
        <v>73</v>
      </c>
      <c r="L282" s="36" t="s">
        <v>606</v>
      </c>
      <c r="M282" s="103"/>
      <c r="N282" s="38" t="s">
        <v>764</v>
      </c>
      <c r="O282" s="36" t="str">
        <f>VLOOKUP(L282,CECOs!A:B,2,0)</f>
        <v>Tareas Generales Mtto FP</v>
      </c>
      <c r="P282" s="17" t="str">
        <f>VLOOKUP(B:B,CECOs!G:I,3,FALSE)</f>
        <v>Tareasgenerales</v>
      </c>
      <c r="Q282" s="17" t="str">
        <f>IF(_xlfn.XLOOKUP(L282,CECOs!A:A,CECOs!C:C,"")="",K282,_xlfn.XLOOKUP(L282,CECOs!A:A,CECOs!C:C,""))</f>
        <v>CORDOVA, DANIELA / ALTAMIRANDA, LEANDRO</v>
      </c>
      <c r="R282" s="17" t="s">
        <v>38</v>
      </c>
      <c r="S282" s="17" t="s">
        <v>45</v>
      </c>
      <c r="T282" s="17" t="s">
        <v>57</v>
      </c>
      <c r="U282" s="17" t="s">
        <v>94</v>
      </c>
      <c r="V282" s="17" t="s">
        <v>95</v>
      </c>
      <c r="W282" s="17"/>
      <c r="X282" s="17"/>
      <c r="Y282" s="17"/>
      <c r="Z282" s="17"/>
      <c r="AA282" s="17"/>
      <c r="AB282" s="17" t="s">
        <v>49</v>
      </c>
      <c r="AC282" s="17"/>
      <c r="AD282" s="17" t="s">
        <v>50</v>
      </c>
      <c r="AE282" s="17"/>
      <c r="AF282" s="17"/>
      <c r="AG282" s="17"/>
      <c r="AH282" s="17"/>
      <c r="AI282" s="17"/>
      <c r="AJ282" s="17"/>
      <c r="AK282" s="29"/>
    </row>
    <row r="283" spans="1:37" ht="9.9499999999999993">
      <c r="A283" s="29">
        <v>46266</v>
      </c>
      <c r="B283" s="22">
        <v>3393049</v>
      </c>
      <c r="C283" s="17" t="s">
        <v>622</v>
      </c>
      <c r="D283" s="17" t="s">
        <v>38</v>
      </c>
      <c r="E283" s="17" t="s">
        <v>38</v>
      </c>
      <c r="F283" s="17"/>
      <c r="G283" s="17" t="str">
        <f>Table1[[#This Row],[DESCRIPCION_POSICION]]</f>
        <v>Ingresante de Oficios</v>
      </c>
      <c r="H283" s="17" t="s">
        <v>765</v>
      </c>
      <c r="I283" s="17" t="s">
        <v>40</v>
      </c>
      <c r="J283" s="17" t="s">
        <v>68</v>
      </c>
      <c r="K283" s="17" t="s">
        <v>73</v>
      </c>
      <c r="L283" s="36" t="s">
        <v>606</v>
      </c>
      <c r="M283" s="103"/>
      <c r="N283" s="38" t="s">
        <v>766</v>
      </c>
      <c r="O283" s="36" t="str">
        <f>VLOOKUP(L283,CECOs!A:B,2,0)</f>
        <v>Tareas Generales Mtto FP</v>
      </c>
      <c r="P283" s="17" t="str">
        <f>VLOOKUP(B:B,CECOs!G:I,3,FALSE)</f>
        <v>Relevomantenimiento</v>
      </c>
      <c r="Q283" s="17" t="str">
        <f>IF(_xlfn.XLOOKUP(L283,CECOs!A:A,CECOs!C:C,"")="",K283,_xlfn.XLOOKUP(L283,CECOs!A:A,CECOs!C:C,""))</f>
        <v>CORDOVA, DANIELA / ALTAMIRANDA, LEANDRO</v>
      </c>
      <c r="R283" s="17" t="s">
        <v>38</v>
      </c>
      <c r="S283" s="17" t="s">
        <v>45</v>
      </c>
      <c r="T283" s="17" t="s">
        <v>57</v>
      </c>
      <c r="U283" s="17" t="s">
        <v>94</v>
      </c>
      <c r="V283" s="17" t="s">
        <v>95</v>
      </c>
      <c r="W283" s="17"/>
      <c r="X283" s="17"/>
      <c r="Y283" s="17"/>
      <c r="Z283" s="17"/>
      <c r="AA283" s="17"/>
      <c r="AB283" s="17" t="s">
        <v>49</v>
      </c>
      <c r="AC283" s="17"/>
      <c r="AD283" s="17" t="s">
        <v>50</v>
      </c>
      <c r="AE283" s="17"/>
      <c r="AF283" s="17"/>
      <c r="AG283" s="17"/>
      <c r="AH283" s="17"/>
      <c r="AI283" s="17"/>
      <c r="AJ283" s="17"/>
      <c r="AK283" s="29"/>
    </row>
    <row r="284" spans="1:37" ht="9.9499999999999993">
      <c r="A284" s="29">
        <v>46266</v>
      </c>
      <c r="B284" s="22">
        <v>3393050</v>
      </c>
      <c r="C284" s="17" t="s">
        <v>410</v>
      </c>
      <c r="D284" s="17" t="s">
        <v>38</v>
      </c>
      <c r="E284" s="17" t="s">
        <v>38</v>
      </c>
      <c r="F284" s="17"/>
      <c r="G284" s="17" t="str">
        <f>Table1[[#This Row],[DESCRIPCION_POSICION]]</f>
        <v>Oficial de Oficios</v>
      </c>
      <c r="H284" s="17" t="s">
        <v>767</v>
      </c>
      <c r="I284" s="17" t="s">
        <v>40</v>
      </c>
      <c r="J284" s="17" t="s">
        <v>68</v>
      </c>
      <c r="K284" s="17" t="s">
        <v>73</v>
      </c>
      <c r="L284" s="36" t="s">
        <v>768</v>
      </c>
      <c r="M284" s="103"/>
      <c r="N284" s="38" t="s">
        <v>769</v>
      </c>
      <c r="O284" s="36" t="str">
        <f>VLOOKUP(L284,CECOs!A:B,2,0)</f>
        <v>Asistencia a Planta FP</v>
      </c>
      <c r="P284" s="17" t="str">
        <f>VLOOKUP(B:B,CECOs!G:I,3,FALSE)</f>
        <v>AsistenciaaPlantas</v>
      </c>
      <c r="Q284" s="17" t="str">
        <f>IF(_xlfn.XLOOKUP(L284,CECOs!A:A,CECOs!C:C,"")="",K284,_xlfn.XLOOKUP(L284,CECOs!A:A,CECOs!C:C,""))</f>
        <v>CORDOVA, DANIELA / ALTAMIRANDA, LEANDRO</v>
      </c>
      <c r="R284" s="17" t="s">
        <v>38</v>
      </c>
      <c r="S284" s="17" t="s">
        <v>45</v>
      </c>
      <c r="T284" s="17" t="s">
        <v>57</v>
      </c>
      <c r="U284" s="17" t="s">
        <v>94</v>
      </c>
      <c r="V284" s="17" t="s">
        <v>95</v>
      </c>
      <c r="W284" s="17"/>
      <c r="X284" s="17"/>
      <c r="Y284" s="17"/>
      <c r="Z284" s="17"/>
      <c r="AA284" s="17"/>
      <c r="AB284" s="17" t="s">
        <v>49</v>
      </c>
      <c r="AC284" s="17"/>
      <c r="AD284" s="17" t="s">
        <v>50</v>
      </c>
      <c r="AE284" s="17"/>
      <c r="AF284" s="17"/>
      <c r="AG284" s="17"/>
      <c r="AH284" s="17"/>
      <c r="AI284" s="17"/>
      <c r="AJ284" s="17"/>
      <c r="AK284" s="29"/>
    </row>
    <row r="285" spans="1:37" ht="9.9499999999999993">
      <c r="A285" s="29">
        <v>46266</v>
      </c>
      <c r="B285" s="22">
        <v>3393051</v>
      </c>
      <c r="C285" s="17" t="s">
        <v>410</v>
      </c>
      <c r="D285" s="17" t="s">
        <v>38</v>
      </c>
      <c r="E285" s="17" t="s">
        <v>38</v>
      </c>
      <c r="F285" s="17"/>
      <c r="G285" s="17" t="str">
        <f>Table1[[#This Row],[DESCRIPCION_POSICION]]</f>
        <v>Oficial de Oficios</v>
      </c>
      <c r="H285" s="17" t="s">
        <v>770</v>
      </c>
      <c r="I285" s="17" t="s">
        <v>40</v>
      </c>
      <c r="J285" s="17" t="s">
        <v>68</v>
      </c>
      <c r="K285" s="17" t="s">
        <v>73</v>
      </c>
      <c r="L285" s="36" t="s">
        <v>768</v>
      </c>
      <c r="M285" s="103"/>
      <c r="N285" s="38" t="s">
        <v>771</v>
      </c>
      <c r="O285" s="36" t="str">
        <f>VLOOKUP(L285,CECOs!A:B,2,0)</f>
        <v>Asistencia a Planta FP</v>
      </c>
      <c r="P285" s="17" t="str">
        <f>VLOOKUP(B:B,CECOs!G:I,3,FALSE)</f>
        <v>AsistenciaaPlantas</v>
      </c>
      <c r="Q285" s="17" t="str">
        <f>IF(_xlfn.XLOOKUP(L285,CECOs!A:A,CECOs!C:C,"")="",K285,_xlfn.XLOOKUP(L285,CECOs!A:A,CECOs!C:C,""))</f>
        <v>CORDOVA, DANIELA / ALTAMIRANDA, LEANDRO</v>
      </c>
      <c r="R285" s="17" t="s">
        <v>38</v>
      </c>
      <c r="S285" s="17" t="s">
        <v>45</v>
      </c>
      <c r="T285" s="17" t="s">
        <v>57</v>
      </c>
      <c r="U285" s="17" t="s">
        <v>94</v>
      </c>
      <c r="V285" s="17" t="s">
        <v>95</v>
      </c>
      <c r="W285" s="17"/>
      <c r="X285" s="17"/>
      <c r="Y285" s="17"/>
      <c r="Z285" s="17"/>
      <c r="AA285" s="17"/>
      <c r="AB285" s="17" t="s">
        <v>49</v>
      </c>
      <c r="AC285" s="17"/>
      <c r="AD285" s="17" t="s">
        <v>50</v>
      </c>
      <c r="AE285" s="17"/>
      <c r="AF285" s="17"/>
      <c r="AG285" s="17"/>
      <c r="AH285" s="17"/>
      <c r="AI285" s="17"/>
      <c r="AJ285" s="17"/>
      <c r="AK285" s="29"/>
    </row>
    <row r="286" spans="1:37" ht="9.9499999999999993">
      <c r="A286" s="29">
        <v>46266</v>
      </c>
      <c r="B286" s="22">
        <v>3393052</v>
      </c>
      <c r="C286" s="17" t="s">
        <v>410</v>
      </c>
      <c r="D286" s="17" t="s">
        <v>38</v>
      </c>
      <c r="E286" s="17" t="s">
        <v>38</v>
      </c>
      <c r="F286" s="17"/>
      <c r="G286" s="17" t="str">
        <f>Table1[[#This Row],[DESCRIPCION_POSICION]]</f>
        <v>Oficial de Oficios</v>
      </c>
      <c r="H286" s="17" t="s">
        <v>772</v>
      </c>
      <c r="I286" s="17" t="s">
        <v>40</v>
      </c>
      <c r="J286" s="17" t="s">
        <v>68</v>
      </c>
      <c r="K286" s="17" t="s">
        <v>73</v>
      </c>
      <c r="L286" s="36" t="s">
        <v>768</v>
      </c>
      <c r="M286" s="103"/>
      <c r="N286" s="38" t="s">
        <v>773</v>
      </c>
      <c r="O286" s="36" t="str">
        <f>VLOOKUP(L286,CECOs!A:B,2,0)</f>
        <v>Asistencia a Planta FP</v>
      </c>
      <c r="P286" s="17" t="str">
        <f>VLOOKUP(B:B,CECOs!G:I,3,FALSE)</f>
        <v>AsistenciaaPlantas</v>
      </c>
      <c r="Q286" s="17" t="str">
        <f>IF(_xlfn.XLOOKUP(L286,CECOs!A:A,CECOs!C:C,"")="",K286,_xlfn.XLOOKUP(L286,CECOs!A:A,CECOs!C:C,""))</f>
        <v>CORDOVA, DANIELA / ALTAMIRANDA, LEANDRO</v>
      </c>
      <c r="R286" s="17" t="s">
        <v>38</v>
      </c>
      <c r="S286" s="17" t="s">
        <v>45</v>
      </c>
      <c r="T286" s="17" t="s">
        <v>57</v>
      </c>
      <c r="U286" s="17" t="s">
        <v>94</v>
      </c>
      <c r="V286" s="17" t="s">
        <v>95</v>
      </c>
      <c r="W286" s="17"/>
      <c r="X286" s="17"/>
      <c r="Y286" s="17"/>
      <c r="Z286" s="17"/>
      <c r="AA286" s="17"/>
      <c r="AB286" s="17" t="s">
        <v>49</v>
      </c>
      <c r="AC286" s="17"/>
      <c r="AD286" s="17" t="s">
        <v>50</v>
      </c>
      <c r="AE286" s="17"/>
      <c r="AF286" s="17"/>
      <c r="AG286" s="17"/>
      <c r="AH286" s="17"/>
      <c r="AI286" s="17"/>
      <c r="AJ286" s="17"/>
      <c r="AK286" s="29"/>
    </row>
    <row r="287" spans="1:37" ht="9.9499999999999993">
      <c r="A287" s="29">
        <v>46266</v>
      </c>
      <c r="B287" s="22">
        <v>3393053</v>
      </c>
      <c r="C287" s="17" t="s">
        <v>328</v>
      </c>
      <c r="D287" s="17" t="s">
        <v>38</v>
      </c>
      <c r="E287" s="17" t="s">
        <v>38</v>
      </c>
      <c r="F287" s="17"/>
      <c r="G287" s="17" t="str">
        <f>Table1[[#This Row],[DESCRIPCION_POSICION]]</f>
        <v>Operador Especializado Semi Jr. Plantas</v>
      </c>
      <c r="H287" s="17" t="s">
        <v>774</v>
      </c>
      <c r="I287" s="17" t="s">
        <v>40</v>
      </c>
      <c r="J287" s="17" t="s">
        <v>68</v>
      </c>
      <c r="K287" s="17" t="s">
        <v>73</v>
      </c>
      <c r="L287" s="36" t="s">
        <v>768</v>
      </c>
      <c r="M287" s="103"/>
      <c r="N287" s="38" t="s">
        <v>775</v>
      </c>
      <c r="O287" s="36" t="str">
        <f>VLOOKUP(L287,CECOs!A:B,2,0)</f>
        <v>Asistencia a Planta FP</v>
      </c>
      <c r="P287" s="17" t="str">
        <f>VLOOKUP(B:B,CECOs!G:I,3,FALSE)</f>
        <v>AsistenciaaPlantas</v>
      </c>
      <c r="Q287" s="17" t="str">
        <f>IF(_xlfn.XLOOKUP(L287,CECOs!A:A,CECOs!C:C,"")="",K287,_xlfn.XLOOKUP(L287,CECOs!A:A,CECOs!C:C,""))</f>
        <v>CORDOVA, DANIELA / ALTAMIRANDA, LEANDRO</v>
      </c>
      <c r="R287" s="17" t="s">
        <v>38</v>
      </c>
      <c r="S287" s="17" t="s">
        <v>45</v>
      </c>
      <c r="T287" s="17" t="s">
        <v>57</v>
      </c>
      <c r="U287" s="17" t="s">
        <v>94</v>
      </c>
      <c r="V287" s="17" t="s">
        <v>95</v>
      </c>
      <c r="W287" s="17"/>
      <c r="X287" s="17"/>
      <c r="Y287" s="17"/>
      <c r="Z287" s="17"/>
      <c r="AA287" s="17"/>
      <c r="AB287" s="17" t="s">
        <v>49</v>
      </c>
      <c r="AC287" s="17"/>
      <c r="AD287" s="17" t="s">
        <v>50</v>
      </c>
      <c r="AE287" s="17"/>
      <c r="AF287" s="17"/>
      <c r="AG287" s="17"/>
      <c r="AH287" s="17"/>
      <c r="AI287" s="17"/>
      <c r="AJ287" s="17"/>
      <c r="AK287" s="29"/>
    </row>
    <row r="288" spans="1:37" ht="9.9499999999999993">
      <c r="A288" s="29">
        <v>46266</v>
      </c>
      <c r="B288" s="22">
        <v>3423202</v>
      </c>
      <c r="C288" s="17" t="s">
        <v>776</v>
      </c>
      <c r="D288" s="17" t="s">
        <v>38</v>
      </c>
      <c r="E288" s="17" t="s">
        <v>38</v>
      </c>
      <c r="F288" s="17"/>
      <c r="G288" s="17" t="str">
        <f>Table1[[#This Row],[DESCRIPCION_POSICION]]</f>
        <v>Oficial Mtto Well Services</v>
      </c>
      <c r="H288" s="52" t="s">
        <v>777</v>
      </c>
      <c r="I288" s="17" t="s">
        <v>40</v>
      </c>
      <c r="J288" s="17" t="s">
        <v>68</v>
      </c>
      <c r="K288" s="17" t="s">
        <v>80</v>
      </c>
      <c r="L288" s="36" t="s">
        <v>778</v>
      </c>
      <c r="N288" s="34" t="s">
        <v>779</v>
      </c>
      <c r="O288" s="36" t="str">
        <f>VLOOKUP(L288,CECOs!A:B,2,0)</f>
        <v>Mtto Well Services FP</v>
      </c>
      <c r="P288" s="17" t="str">
        <f>VLOOKUP(B:B,CECOs!G:I,3,FALSE)</f>
        <v>Relevomantenimiento</v>
      </c>
      <c r="Q288" s="17" t="str">
        <f>IF(_xlfn.XLOOKUP(L288,CECOs!A:A,CECOs!C:C,"")="",K288,_xlfn.XLOOKUP(L288,CECOs!A:A,CECOs!C:C,""))</f>
        <v>MACIAS, OSCAR  / SAFFE, JULIAN</v>
      </c>
      <c r="R288" s="17" t="s">
        <v>38</v>
      </c>
      <c r="S288" s="17" t="s">
        <v>45</v>
      </c>
      <c r="T288" s="17" t="s">
        <v>57</v>
      </c>
      <c r="U288" s="17" t="s">
        <v>94</v>
      </c>
      <c r="V288" s="17" t="s">
        <v>95</v>
      </c>
      <c r="W288" s="17"/>
      <c r="X288" s="17"/>
      <c r="Y288" s="17"/>
      <c r="Z288" s="17"/>
      <c r="AA288" s="17"/>
      <c r="AB288" s="17" t="s">
        <v>49</v>
      </c>
      <c r="AC288" s="17"/>
      <c r="AD288" s="17" t="s">
        <v>50</v>
      </c>
      <c r="AE288" s="17"/>
      <c r="AF288" s="17"/>
      <c r="AG288" s="17"/>
      <c r="AH288" s="17"/>
      <c r="AI288" s="17"/>
      <c r="AJ288" s="17"/>
      <c r="AK288" s="29"/>
    </row>
    <row r="289" spans="1:37" ht="9.9499999999999993">
      <c r="A289" s="29">
        <v>46266</v>
      </c>
      <c r="B289" s="22">
        <v>3393055</v>
      </c>
      <c r="C289" s="17" t="s">
        <v>410</v>
      </c>
      <c r="D289" s="17" t="s">
        <v>38</v>
      </c>
      <c r="E289" s="17" t="s">
        <v>38</v>
      </c>
      <c r="F289" s="17"/>
      <c r="G289" s="17" t="str">
        <f>Table1[[#This Row],[DESCRIPCION_POSICION]]</f>
        <v>Oficial de Oficios</v>
      </c>
      <c r="H289" s="17" t="s">
        <v>780</v>
      </c>
      <c r="I289" s="17" t="s">
        <v>40</v>
      </c>
      <c r="J289" s="17" t="s">
        <v>68</v>
      </c>
      <c r="K289" s="17" t="s">
        <v>73</v>
      </c>
      <c r="L289" s="36" t="s">
        <v>759</v>
      </c>
      <c r="M289" s="103"/>
      <c r="N289" s="38" t="s">
        <v>781</v>
      </c>
      <c r="O289" s="36" t="str">
        <f>VLOOKUP(L289,CECOs!A:B,2,0)</f>
        <v>Engrase FP</v>
      </c>
      <c r="P289" s="17" t="str">
        <f>VLOOKUP(B:B,CECOs!G:I,3,FALSE)</f>
        <v>WellServices</v>
      </c>
      <c r="Q289" s="17" t="str">
        <f>IF(_xlfn.XLOOKUP(L289,CECOs!A:A,CECOs!C:C,"")="",K289,_xlfn.XLOOKUP(L289,CECOs!A:A,CECOs!C:C,""))</f>
        <v>CORDOVA, DANIELA / ALTAMIRANDA, LEANDRO</v>
      </c>
      <c r="R289" s="17" t="s">
        <v>38</v>
      </c>
      <c r="S289" s="17" t="s">
        <v>45</v>
      </c>
      <c r="T289" s="17" t="s">
        <v>57</v>
      </c>
      <c r="U289" s="17" t="s">
        <v>94</v>
      </c>
      <c r="V289" s="17" t="s">
        <v>95</v>
      </c>
      <c r="W289" s="17"/>
      <c r="X289" s="17"/>
      <c r="Y289" s="17"/>
      <c r="Z289" s="17"/>
      <c r="AA289" s="17"/>
      <c r="AB289" s="17" t="s">
        <v>49</v>
      </c>
      <c r="AC289" s="17"/>
      <c r="AD289" s="17" t="s">
        <v>50</v>
      </c>
      <c r="AE289" s="17"/>
      <c r="AF289" s="17"/>
      <c r="AG289" s="17"/>
      <c r="AH289" s="17"/>
      <c r="AI289" s="17"/>
      <c r="AJ289" s="17"/>
      <c r="AK289" s="29"/>
    </row>
    <row r="290" spans="1:37" ht="9.9499999999999993">
      <c r="A290" s="29">
        <v>46266</v>
      </c>
      <c r="B290" s="22">
        <v>3393056</v>
      </c>
      <c r="C290" s="17" t="s">
        <v>90</v>
      </c>
      <c r="D290" s="17" t="s">
        <v>38</v>
      </c>
      <c r="E290" s="17" t="s">
        <v>38</v>
      </c>
      <c r="F290" s="17"/>
      <c r="G290" s="17" t="str">
        <f>Table1[[#This Row],[DESCRIPCION_POSICION]]</f>
        <v>Oficial Especializado de Oficios</v>
      </c>
      <c r="H290" s="17" t="s">
        <v>782</v>
      </c>
      <c r="I290" s="17" t="s">
        <v>40</v>
      </c>
      <c r="J290" s="17" t="s">
        <v>68</v>
      </c>
      <c r="K290" s="17" t="s">
        <v>73</v>
      </c>
      <c r="L290" s="36" t="s">
        <v>759</v>
      </c>
      <c r="M290" s="103"/>
      <c r="N290" s="38" t="s">
        <v>783</v>
      </c>
      <c r="O290" s="36" t="str">
        <f>VLOOKUP(L290,CECOs!A:B,2,0)</f>
        <v>Engrase FP</v>
      </c>
      <c r="P290" s="17" t="str">
        <f>VLOOKUP(B:B,CECOs!G:I,3,FALSE)</f>
        <v>Mecánicos,engraseyflota</v>
      </c>
      <c r="Q290" s="17" t="str">
        <f>IF(_xlfn.XLOOKUP(L290,CECOs!A:A,CECOs!C:C,"")="",K290,_xlfn.XLOOKUP(L290,CECOs!A:A,CECOs!C:C,""))</f>
        <v>CORDOVA, DANIELA / ALTAMIRANDA, LEANDRO</v>
      </c>
      <c r="R290" s="17" t="s">
        <v>38</v>
      </c>
      <c r="S290" s="17" t="s">
        <v>45</v>
      </c>
      <c r="T290" s="17" t="s">
        <v>57</v>
      </c>
      <c r="U290" s="17" t="s">
        <v>94</v>
      </c>
      <c r="V290" s="17" t="s">
        <v>95</v>
      </c>
      <c r="W290" s="17"/>
      <c r="X290" s="17"/>
      <c r="Y290" s="17"/>
      <c r="Z290" s="17"/>
      <c r="AA290" s="17"/>
      <c r="AB290" s="17" t="s">
        <v>49</v>
      </c>
      <c r="AC290" s="17"/>
      <c r="AD290" s="17" t="s">
        <v>50</v>
      </c>
      <c r="AE290" s="17"/>
      <c r="AF290" s="17"/>
      <c r="AG290" s="17"/>
      <c r="AH290" s="17"/>
      <c r="AI290" s="17"/>
      <c r="AJ290" s="17"/>
      <c r="AK290" s="29"/>
    </row>
    <row r="291" spans="1:37" ht="9.9499999999999993">
      <c r="A291" s="29">
        <v>46266</v>
      </c>
      <c r="B291" s="22">
        <v>3393057</v>
      </c>
      <c r="C291" s="17" t="s">
        <v>410</v>
      </c>
      <c r="D291" s="17" t="s">
        <v>38</v>
      </c>
      <c r="E291" s="17" t="s">
        <v>38</v>
      </c>
      <c r="F291" s="17"/>
      <c r="G291" s="17" t="str">
        <f>Table1[[#This Row],[DESCRIPCION_POSICION]]</f>
        <v>Oficial de Oficios</v>
      </c>
      <c r="H291" s="17" t="s">
        <v>784</v>
      </c>
      <c r="I291" s="17" t="s">
        <v>40</v>
      </c>
      <c r="J291" s="17" t="s">
        <v>68</v>
      </c>
      <c r="K291" s="17" t="s">
        <v>73</v>
      </c>
      <c r="L291" s="36" t="s">
        <v>759</v>
      </c>
      <c r="M291" s="103"/>
      <c r="N291" s="38" t="s">
        <v>785</v>
      </c>
      <c r="O291" s="36" t="str">
        <f>VLOOKUP(L291,CECOs!A:B,2,0)</f>
        <v>Engrase FP</v>
      </c>
      <c r="P291" s="17" t="str">
        <f>VLOOKUP(B:B,CECOs!G:I,3,FALSE)</f>
        <v>Mecánicos,engraseyflota</v>
      </c>
      <c r="Q291" s="17" t="str">
        <f>IF(_xlfn.XLOOKUP(L291,CECOs!A:A,CECOs!C:C,"")="",K291,_xlfn.XLOOKUP(L291,CECOs!A:A,CECOs!C:C,""))</f>
        <v>CORDOVA, DANIELA / ALTAMIRANDA, LEANDRO</v>
      </c>
      <c r="R291" s="17" t="s">
        <v>38</v>
      </c>
      <c r="S291" s="17" t="s">
        <v>45</v>
      </c>
      <c r="T291" s="17" t="s">
        <v>57</v>
      </c>
      <c r="U291" s="17" t="s">
        <v>94</v>
      </c>
      <c r="V291" s="17" t="s">
        <v>95</v>
      </c>
      <c r="W291" s="17"/>
      <c r="X291" s="17"/>
      <c r="Y291" s="17"/>
      <c r="Z291" s="17"/>
      <c r="AA291" s="17"/>
      <c r="AB291" s="17" t="s">
        <v>49</v>
      </c>
      <c r="AC291" s="17"/>
      <c r="AD291" s="17" t="s">
        <v>50</v>
      </c>
      <c r="AE291" s="17"/>
      <c r="AF291" s="17"/>
      <c r="AG291" s="17"/>
      <c r="AH291" s="17"/>
      <c r="AI291" s="17"/>
      <c r="AJ291" s="17"/>
      <c r="AK291" s="29"/>
    </row>
    <row r="292" spans="1:37" ht="9.9499999999999993">
      <c r="A292" s="29">
        <v>46266</v>
      </c>
      <c r="B292" s="22">
        <v>3393058</v>
      </c>
      <c r="C292" s="17" t="s">
        <v>416</v>
      </c>
      <c r="D292" s="17" t="s">
        <v>38</v>
      </c>
      <c r="E292" s="17" t="s">
        <v>38</v>
      </c>
      <c r="F292" s="17"/>
      <c r="G292" s="17"/>
      <c r="H292" s="49"/>
      <c r="I292" s="17" t="s">
        <v>40</v>
      </c>
      <c r="J292" s="17" t="s">
        <v>68</v>
      </c>
      <c r="K292" s="17" t="s">
        <v>73</v>
      </c>
      <c r="L292" s="36" t="s">
        <v>768</v>
      </c>
      <c r="M292" s="103"/>
      <c r="N292" s="94" t="s">
        <v>786</v>
      </c>
      <c r="O292" s="36" t="str">
        <f>VLOOKUP(L292,CECOs!A:B,2,0)</f>
        <v>Asistencia a Planta FP</v>
      </c>
      <c r="P292" s="17" t="e">
        <f>VLOOKUP(B:B,CECOs!G:I,3,FALSE)</f>
        <v>#N/A</v>
      </c>
      <c r="Q292" s="17" t="str">
        <f>IF(_xlfn.XLOOKUP(L292,CECOs!A:A,CECOs!C:C,"")="",K292,_xlfn.XLOOKUP(L292,CECOs!A:A,CECOs!C:C,""))</f>
        <v>CORDOVA, DANIELA / ALTAMIRANDA, LEANDRO</v>
      </c>
      <c r="R292" s="17" t="s">
        <v>38</v>
      </c>
      <c r="S292" s="17" t="s">
        <v>45</v>
      </c>
      <c r="T292" s="17" t="s">
        <v>57</v>
      </c>
      <c r="U292" s="17" t="s">
        <v>94</v>
      </c>
      <c r="V292" s="17" t="s">
        <v>95</v>
      </c>
      <c r="W292" s="17"/>
      <c r="X292" s="17"/>
      <c r="Y292" s="17"/>
      <c r="Z292" s="17"/>
      <c r="AA292" s="17"/>
      <c r="AB292" s="17" t="s">
        <v>49</v>
      </c>
      <c r="AC292" s="17"/>
      <c r="AD292" s="17" t="s">
        <v>50</v>
      </c>
      <c r="AE292" s="17"/>
      <c r="AF292" s="17"/>
      <c r="AG292" s="17"/>
      <c r="AH292" s="17"/>
      <c r="AI292" s="17"/>
      <c r="AJ292" s="17"/>
      <c r="AK292" s="29"/>
    </row>
    <row r="293" spans="1:37" ht="9.9499999999999993">
      <c r="A293" s="29">
        <v>46266</v>
      </c>
      <c r="B293" s="22">
        <v>3409930</v>
      </c>
      <c r="C293" s="17" t="s">
        <v>754</v>
      </c>
      <c r="D293" s="17" t="s">
        <v>38</v>
      </c>
      <c r="E293" s="17" t="s">
        <v>38</v>
      </c>
      <c r="F293" s="17"/>
      <c r="G293" s="17" t="str">
        <f>Table1[[#This Row],[DESCRIPCION_POSICION]]</f>
        <v>Medio Oficial Sr. de Oficios</v>
      </c>
      <c r="H293" s="17" t="s">
        <v>787</v>
      </c>
      <c r="I293" s="17" t="s">
        <v>40</v>
      </c>
      <c r="J293" s="17" t="s">
        <v>68</v>
      </c>
      <c r="K293" s="17" t="s">
        <v>86</v>
      </c>
      <c r="L293" s="36" t="s">
        <v>617</v>
      </c>
      <c r="M293" s="103"/>
      <c r="N293" s="38" t="s">
        <v>788</v>
      </c>
      <c r="O293" s="36" t="str">
        <f>VLOOKUP(L293,CECOs!A:B,2,0)</f>
        <v>Chofer FP</v>
      </c>
      <c r="P293" s="17" t="str">
        <f>VLOOKUP(B:B,CECOs!G:I,3,FALSE)</f>
        <v>Choferes/Logística</v>
      </c>
      <c r="Q293" s="17" t="str">
        <f>IF(_xlfn.XLOOKUP(L293,CECOs!A:A,CECOs!C:C,"")="",K293,_xlfn.XLOOKUP(L293,CECOs!A:A,CECOs!C:C,""))</f>
        <v>CASAL, GUSTAVO</v>
      </c>
      <c r="R293" s="17" t="s">
        <v>38</v>
      </c>
      <c r="S293" s="17" t="s">
        <v>45</v>
      </c>
      <c r="T293" s="17" t="s">
        <v>57</v>
      </c>
      <c r="U293" s="17" t="s">
        <v>94</v>
      </c>
      <c r="V293" s="17" t="s">
        <v>95</v>
      </c>
      <c r="W293" s="17"/>
      <c r="X293" s="17"/>
      <c r="Y293" s="17"/>
      <c r="Z293" s="17"/>
      <c r="AA293" s="17"/>
      <c r="AB293" s="17" t="s">
        <v>49</v>
      </c>
      <c r="AC293" s="17"/>
      <c r="AD293" s="17" t="s">
        <v>50</v>
      </c>
      <c r="AE293" s="17"/>
      <c r="AF293" s="17"/>
      <c r="AG293" s="17"/>
      <c r="AH293" s="17"/>
      <c r="AI293" s="17"/>
      <c r="AJ293" s="17"/>
      <c r="AK293" s="29"/>
    </row>
    <row r="294" spans="1:37" ht="9.9499999999999993">
      <c r="A294" s="29">
        <v>46266</v>
      </c>
      <c r="B294" s="22">
        <v>3393059</v>
      </c>
      <c r="C294" s="17" t="s">
        <v>789</v>
      </c>
      <c r="D294" s="17" t="s">
        <v>38</v>
      </c>
      <c r="E294" s="17" t="s">
        <v>38</v>
      </c>
      <c r="F294" s="17"/>
      <c r="G294" s="17" t="str">
        <f>Table1[[#This Row],[DESCRIPCION_POSICION]]</f>
        <v>Oficial Especializado de Almacén</v>
      </c>
      <c r="H294" s="17" t="s">
        <v>790</v>
      </c>
      <c r="I294" s="17" t="s">
        <v>40</v>
      </c>
      <c r="J294" s="17" t="s">
        <v>68</v>
      </c>
      <c r="K294" s="17" t="s">
        <v>84</v>
      </c>
      <c r="L294" s="36" t="s">
        <v>791</v>
      </c>
      <c r="M294" s="103"/>
      <c r="N294" s="88" t="s">
        <v>792</v>
      </c>
      <c r="O294" s="36" t="str">
        <f>VLOOKUP(L294,CECOs!A:B,2,0)</f>
        <v>Aux. Almacén LBAS</v>
      </c>
      <c r="P294" s="17" t="str">
        <f>VLOOKUP(B:B,CECOs!G:I,3,FALSE)</f>
        <v>AlmacenNoconvencional</v>
      </c>
      <c r="Q294" s="17" t="str">
        <f>IF(_xlfn.XLOOKUP(L294,CECOs!A:A,CECOs!C:C,"")="",K294,_xlfn.XLOOKUP(L294,CECOs!A:A,CECOs!C:C,""))</f>
        <v>BECHARA, LUCAS ANTONIO</v>
      </c>
      <c r="R294" s="17" t="s">
        <v>38</v>
      </c>
      <c r="S294" s="17" t="s">
        <v>45</v>
      </c>
      <c r="T294" s="17" t="s">
        <v>57</v>
      </c>
      <c r="U294" s="17" t="s">
        <v>371</v>
      </c>
      <c r="V294" s="17" t="s">
        <v>95</v>
      </c>
      <c r="W294" s="17"/>
      <c r="X294" s="17"/>
      <c r="Y294" s="17"/>
      <c r="Z294" s="17"/>
      <c r="AA294" s="17"/>
      <c r="AB294" s="17" t="s">
        <v>49</v>
      </c>
      <c r="AC294" s="17"/>
      <c r="AD294" s="17" t="s">
        <v>50</v>
      </c>
      <c r="AE294" s="17"/>
      <c r="AF294" s="17"/>
      <c r="AG294" s="17"/>
      <c r="AH294" s="17"/>
      <c r="AI294" s="17"/>
      <c r="AJ294" s="17"/>
      <c r="AK294" s="29"/>
    </row>
    <row r="295" spans="1:37" ht="9.9499999999999993">
      <c r="A295" s="29">
        <v>46266</v>
      </c>
      <c r="B295" s="22">
        <v>3393060</v>
      </c>
      <c r="C295" s="17" t="s">
        <v>372</v>
      </c>
      <c r="D295" s="17" t="s">
        <v>38</v>
      </c>
      <c r="E295" s="17" t="s">
        <v>38</v>
      </c>
      <c r="F295" s="17"/>
      <c r="G295" s="17" t="str">
        <f>Table1[[#This Row],[DESCRIPCION_POSICION]]</f>
        <v>Ayudante de Almacén</v>
      </c>
      <c r="H295" s="17" t="s">
        <v>793</v>
      </c>
      <c r="I295" s="17" t="s">
        <v>40</v>
      </c>
      <c r="J295" s="17" t="s">
        <v>68</v>
      </c>
      <c r="K295" s="17" t="s">
        <v>86</v>
      </c>
      <c r="L295" s="36" t="s">
        <v>369</v>
      </c>
      <c r="M295" s="103"/>
      <c r="N295" s="88" t="s">
        <v>794</v>
      </c>
      <c r="O295" s="36" t="str">
        <f>VLOOKUP(L295,CECOs!A:B,2,0)</f>
        <v>Aux. Almacén FP</v>
      </c>
      <c r="P295" s="17" t="str">
        <f>VLOOKUP(B:B,CECOs!G:I,3,FALSE)</f>
        <v>AlmacenNoconvencional</v>
      </c>
      <c r="Q295" s="17" t="str">
        <f>IF(_xlfn.XLOOKUP(L295,CECOs!A:A,CECOs!C:C,"")="",K295,_xlfn.XLOOKUP(L295,CECOs!A:A,CECOs!C:C,""))</f>
        <v>CASAL, GUSTAVO</v>
      </c>
      <c r="R295" s="17" t="s">
        <v>38</v>
      </c>
      <c r="S295" s="17" t="s">
        <v>45</v>
      </c>
      <c r="T295" s="17" t="s">
        <v>57</v>
      </c>
      <c r="U295" s="17" t="s">
        <v>371</v>
      </c>
      <c r="V295" s="17" t="s">
        <v>95</v>
      </c>
      <c r="W295" s="17"/>
      <c r="X295" s="17"/>
      <c r="Y295" s="17"/>
      <c r="Z295" s="17"/>
      <c r="AA295" s="17"/>
      <c r="AB295" s="17" t="s">
        <v>49</v>
      </c>
      <c r="AC295" s="17"/>
      <c r="AD295" s="17" t="s">
        <v>50</v>
      </c>
      <c r="AE295" s="17"/>
      <c r="AF295" s="17"/>
      <c r="AG295" s="17"/>
      <c r="AH295" s="17"/>
      <c r="AI295" s="17"/>
      <c r="AJ295" s="17"/>
      <c r="AK295" s="29"/>
    </row>
    <row r="296" spans="1:37" ht="9.9499999999999993">
      <c r="A296" s="29">
        <v>46266</v>
      </c>
      <c r="B296" s="22">
        <v>3393061</v>
      </c>
      <c r="C296" s="17" t="s">
        <v>367</v>
      </c>
      <c r="D296" s="17" t="s">
        <v>38</v>
      </c>
      <c r="E296" s="17" t="s">
        <v>38</v>
      </c>
      <c r="F296" s="17"/>
      <c r="G296" s="17" t="str">
        <f>Table1[[#This Row],[DESCRIPCION_POSICION]]</f>
        <v>Administrativo de Almacén</v>
      </c>
      <c r="H296" s="49" t="s">
        <v>795</v>
      </c>
      <c r="I296" s="17" t="s">
        <v>40</v>
      </c>
      <c r="J296" s="17" t="s">
        <v>68</v>
      </c>
      <c r="K296" s="17" t="s">
        <v>86</v>
      </c>
      <c r="L296" s="36" t="s">
        <v>369</v>
      </c>
      <c r="M296" s="103"/>
      <c r="N296" s="88" t="s">
        <v>796</v>
      </c>
      <c r="O296" s="36" t="str">
        <f>VLOOKUP(L296,CECOs!A:B,2,0)</f>
        <v>Aux. Almacén FP</v>
      </c>
      <c r="P296" s="17" t="str">
        <f>VLOOKUP(B:B,CECOs!G:I,3,FALSE)</f>
        <v>AlmacenNoconvencional</v>
      </c>
      <c r="Q296" s="17" t="str">
        <f>IF(_xlfn.XLOOKUP(L296,CECOs!A:A,CECOs!C:C,"")="",K296,_xlfn.XLOOKUP(L296,CECOs!A:A,CECOs!C:C,""))</f>
        <v>CASAL, GUSTAVO</v>
      </c>
      <c r="R296" s="17" t="s">
        <v>38</v>
      </c>
      <c r="S296" s="17" t="s">
        <v>45</v>
      </c>
      <c r="T296" s="17" t="s">
        <v>57</v>
      </c>
      <c r="U296" s="17" t="s">
        <v>371</v>
      </c>
      <c r="V296" s="17" t="s">
        <v>95</v>
      </c>
      <c r="W296" s="17"/>
      <c r="X296" s="17"/>
      <c r="Y296" s="17"/>
      <c r="Z296" s="17"/>
      <c r="AA296" s="17"/>
      <c r="AB296" s="17" t="s">
        <v>49</v>
      </c>
      <c r="AC296" s="17"/>
      <c r="AD296" s="17" t="s">
        <v>50</v>
      </c>
      <c r="AE296" s="17"/>
      <c r="AF296" s="17"/>
      <c r="AG296" s="17"/>
      <c r="AH296" s="17"/>
      <c r="AI296" s="17"/>
      <c r="AJ296" s="17"/>
      <c r="AK296" s="29"/>
    </row>
    <row r="297" spans="1:37" ht="9.9499999999999993">
      <c r="A297" s="29">
        <v>46266</v>
      </c>
      <c r="B297" s="22">
        <v>3393062</v>
      </c>
      <c r="C297" s="17" t="s">
        <v>372</v>
      </c>
      <c r="D297" s="17" t="s">
        <v>38</v>
      </c>
      <c r="E297" s="17" t="s">
        <v>38</v>
      </c>
      <c r="F297" s="17"/>
      <c r="G297" s="17" t="str">
        <f>Table1[[#This Row],[DESCRIPCION_POSICION]]</f>
        <v>Ayudante de Almacén</v>
      </c>
      <c r="H297" s="17" t="s">
        <v>797</v>
      </c>
      <c r="I297" s="17" t="s">
        <v>40</v>
      </c>
      <c r="J297" s="17" t="s">
        <v>68</v>
      </c>
      <c r="K297" s="17" t="s">
        <v>86</v>
      </c>
      <c r="L297" s="36" t="s">
        <v>369</v>
      </c>
      <c r="M297" s="103"/>
      <c r="N297" s="88" t="s">
        <v>798</v>
      </c>
      <c r="O297" s="36" t="str">
        <f>VLOOKUP(L297,CECOs!A:B,2,0)</f>
        <v>Aux. Almacén FP</v>
      </c>
      <c r="P297" s="17" t="str">
        <f>VLOOKUP(B:B,CECOs!G:I,3,FALSE)</f>
        <v>AlmacenNoconvencional</v>
      </c>
      <c r="Q297" s="17" t="str">
        <f>IF(_xlfn.XLOOKUP(L297,CECOs!A:A,CECOs!C:C,"")="",K297,_xlfn.XLOOKUP(L297,CECOs!A:A,CECOs!C:C,""))</f>
        <v>CASAL, GUSTAVO</v>
      </c>
      <c r="R297" s="17" t="s">
        <v>38</v>
      </c>
      <c r="S297" s="17" t="s">
        <v>45</v>
      </c>
      <c r="T297" s="17" t="s">
        <v>57</v>
      </c>
      <c r="U297" s="17" t="s">
        <v>371</v>
      </c>
      <c r="V297" s="17" t="s">
        <v>95</v>
      </c>
      <c r="W297" s="17"/>
      <c r="X297" s="17"/>
      <c r="Y297" s="17"/>
      <c r="Z297" s="17"/>
      <c r="AA297" s="17"/>
      <c r="AB297" s="17" t="s">
        <v>49</v>
      </c>
      <c r="AC297" s="17"/>
      <c r="AD297" s="17" t="s">
        <v>50</v>
      </c>
      <c r="AE297" s="17"/>
      <c r="AF297" s="17"/>
      <c r="AG297" s="17"/>
      <c r="AH297" s="17"/>
      <c r="AI297" s="17"/>
      <c r="AJ297" s="17"/>
      <c r="AK297" s="29"/>
    </row>
    <row r="298" spans="1:37" ht="9.9499999999999993">
      <c r="A298" s="29">
        <v>46266</v>
      </c>
      <c r="B298" s="22">
        <v>3393063</v>
      </c>
      <c r="C298" s="17" t="s">
        <v>367</v>
      </c>
      <c r="D298" s="17" t="s">
        <v>38</v>
      </c>
      <c r="E298" s="17" t="s">
        <v>38</v>
      </c>
      <c r="F298" s="17"/>
      <c r="G298" s="17" t="str">
        <f>Table1[[#This Row],[DESCRIPCION_POSICION]]</f>
        <v>Administrativo de Almacén</v>
      </c>
      <c r="H298" s="17" t="s">
        <v>799</v>
      </c>
      <c r="I298" s="17" t="s">
        <v>40</v>
      </c>
      <c r="J298" s="17" t="s">
        <v>68</v>
      </c>
      <c r="K298" s="17" t="s">
        <v>84</v>
      </c>
      <c r="L298" s="36" t="s">
        <v>800</v>
      </c>
      <c r="M298" s="103"/>
      <c r="N298" s="88" t="s">
        <v>801</v>
      </c>
      <c r="O298" s="36" t="str">
        <f>VLOOKUP(L298,CECOs!A:B,2,0)</f>
        <v>Aux. Almacén SALA</v>
      </c>
      <c r="P298" s="17" t="str">
        <f>VLOOKUP(B:B,CECOs!G:I,3,FALSE)</f>
        <v>Almacenconvencional</v>
      </c>
      <c r="Q298" s="17" t="str">
        <f>IF(_xlfn.XLOOKUP(L298,CECOs!A:A,CECOs!C:C,"")="",K298,_xlfn.XLOOKUP(L298,CECOs!A:A,CECOs!C:C,""))</f>
        <v>BECHARA, LUCAS ANTONIO</v>
      </c>
      <c r="R298" s="17" t="s">
        <v>38</v>
      </c>
      <c r="S298" s="17" t="s">
        <v>45</v>
      </c>
      <c r="T298" s="17" t="s">
        <v>57</v>
      </c>
      <c r="U298" s="17" t="s">
        <v>371</v>
      </c>
      <c r="V298" s="17" t="s">
        <v>95</v>
      </c>
      <c r="W298" s="17"/>
      <c r="X298" s="17"/>
      <c r="Y298" s="17"/>
      <c r="Z298" s="17"/>
      <c r="AA298" s="17"/>
      <c r="AB298" s="17" t="s">
        <v>49</v>
      </c>
      <c r="AC298" s="17"/>
      <c r="AD298" s="17" t="s">
        <v>50</v>
      </c>
      <c r="AE298" s="17"/>
      <c r="AF298" s="17"/>
      <c r="AG298" s="17"/>
      <c r="AH298" s="17"/>
      <c r="AI298" s="17"/>
      <c r="AJ298" s="17"/>
      <c r="AK298" s="29"/>
    </row>
    <row r="299" spans="1:37" ht="9.9499999999999993">
      <c r="A299" s="29">
        <v>46266</v>
      </c>
      <c r="B299" s="22">
        <v>3393064</v>
      </c>
      <c r="C299" s="17" t="s">
        <v>367</v>
      </c>
      <c r="D299" s="17" t="s">
        <v>38</v>
      </c>
      <c r="E299" s="17" t="s">
        <v>38</v>
      </c>
      <c r="F299" s="17"/>
      <c r="G299" s="17" t="str">
        <f>Table1[[#This Row],[DESCRIPCION_POSICION]]</f>
        <v>Administrativo de Almacén</v>
      </c>
      <c r="H299" s="17" t="s">
        <v>802</v>
      </c>
      <c r="I299" s="17" t="s">
        <v>40</v>
      </c>
      <c r="J299" s="17" t="s">
        <v>68</v>
      </c>
      <c r="K299" s="17" t="s">
        <v>86</v>
      </c>
      <c r="L299" s="36" t="s">
        <v>369</v>
      </c>
      <c r="M299" s="103"/>
      <c r="N299" s="88" t="s">
        <v>803</v>
      </c>
      <c r="O299" s="36" t="str">
        <f>VLOOKUP(L299,CECOs!A:B,2,0)</f>
        <v>Aux. Almacén FP</v>
      </c>
      <c r="P299" s="17" t="str">
        <f>VLOOKUP(B:B,CECOs!G:I,3,FALSE)</f>
        <v>AlmacenNoconvencional</v>
      </c>
      <c r="Q299" s="17" t="str">
        <f>IF(_xlfn.XLOOKUP(L299,CECOs!A:A,CECOs!C:C,"")="",K299,_xlfn.XLOOKUP(L299,CECOs!A:A,CECOs!C:C,""))</f>
        <v>CASAL, GUSTAVO</v>
      </c>
      <c r="R299" s="17" t="s">
        <v>38</v>
      </c>
      <c r="S299" s="17" t="s">
        <v>45</v>
      </c>
      <c r="T299" s="17" t="s">
        <v>57</v>
      </c>
      <c r="U299" s="17" t="s">
        <v>371</v>
      </c>
      <c r="V299" s="17" t="s">
        <v>95</v>
      </c>
      <c r="W299" s="17"/>
      <c r="X299" s="17"/>
      <c r="Y299" s="17"/>
      <c r="Z299" s="17"/>
      <c r="AA299" s="17"/>
      <c r="AB299" s="17" t="s">
        <v>49</v>
      </c>
      <c r="AC299" s="17"/>
      <c r="AD299" s="17" t="s">
        <v>50</v>
      </c>
      <c r="AE299" s="17"/>
      <c r="AF299" s="17"/>
      <c r="AG299" s="17"/>
      <c r="AH299" s="17"/>
      <c r="AI299" s="17"/>
      <c r="AJ299" s="17"/>
      <c r="AK299" s="29"/>
    </row>
    <row r="300" spans="1:37" ht="9.9499999999999993">
      <c r="A300" s="29">
        <v>46266</v>
      </c>
      <c r="B300" s="22">
        <v>3393065</v>
      </c>
      <c r="C300" s="17" t="s">
        <v>804</v>
      </c>
      <c r="D300" s="17" t="s">
        <v>38</v>
      </c>
      <c r="E300" s="17" t="s">
        <v>38</v>
      </c>
      <c r="F300" s="17"/>
      <c r="G300" s="17" t="str">
        <f>Table1[[#This Row],[DESCRIPCION_POSICION]]</f>
        <v>Oficial de Almacén</v>
      </c>
      <c r="H300" s="17" t="s">
        <v>805</v>
      </c>
      <c r="I300" s="17" t="s">
        <v>40</v>
      </c>
      <c r="J300" s="17" t="s">
        <v>68</v>
      </c>
      <c r="K300" s="17" t="s">
        <v>86</v>
      </c>
      <c r="L300" s="36" t="s">
        <v>369</v>
      </c>
      <c r="M300" s="103"/>
      <c r="N300" s="88" t="s">
        <v>806</v>
      </c>
      <c r="O300" s="36" t="str">
        <f>VLOOKUP(L300,CECOs!A:B,2,0)</f>
        <v>Aux. Almacén FP</v>
      </c>
      <c r="P300" s="17" t="str">
        <f>VLOOKUP(B:B,CECOs!G:I,3,FALSE)</f>
        <v>AlmacenNoconvencional</v>
      </c>
      <c r="Q300" s="17" t="str">
        <f>IF(_xlfn.XLOOKUP(L300,CECOs!A:A,CECOs!C:C,"")="",K300,_xlfn.XLOOKUP(L300,CECOs!A:A,CECOs!C:C,""))</f>
        <v>CASAL, GUSTAVO</v>
      </c>
      <c r="R300" s="17" t="s">
        <v>38</v>
      </c>
      <c r="S300" s="17" t="s">
        <v>45</v>
      </c>
      <c r="T300" s="17" t="s">
        <v>57</v>
      </c>
      <c r="U300" s="17" t="s">
        <v>371</v>
      </c>
      <c r="V300" s="17" t="s">
        <v>95</v>
      </c>
      <c r="W300" s="17"/>
      <c r="X300" s="17"/>
      <c r="Y300" s="17"/>
      <c r="Z300" s="17"/>
      <c r="AA300" s="17"/>
      <c r="AB300" s="17" t="s">
        <v>49</v>
      </c>
      <c r="AC300" s="17"/>
      <c r="AD300" s="17" t="s">
        <v>50</v>
      </c>
      <c r="AE300" s="17"/>
      <c r="AF300" s="17"/>
      <c r="AG300" s="17"/>
      <c r="AH300" s="17"/>
      <c r="AI300" s="17"/>
      <c r="AJ300" s="17"/>
      <c r="AK300" s="29"/>
    </row>
    <row r="301" spans="1:37" ht="9.9499999999999993">
      <c r="A301" s="29">
        <v>46266</v>
      </c>
      <c r="B301" s="22">
        <v>3393066</v>
      </c>
      <c r="C301" s="17" t="s">
        <v>804</v>
      </c>
      <c r="D301" s="17" t="s">
        <v>38</v>
      </c>
      <c r="E301" s="17" t="s">
        <v>38</v>
      </c>
      <c r="F301" s="17"/>
      <c r="G301" s="17" t="str">
        <f>Table1[[#This Row],[DESCRIPCION_POSICION]]</f>
        <v>Oficial de Almacén</v>
      </c>
      <c r="H301" s="17" t="s">
        <v>807</v>
      </c>
      <c r="I301" s="17" t="s">
        <v>40</v>
      </c>
      <c r="J301" s="17" t="s">
        <v>68</v>
      </c>
      <c r="K301" s="17" t="s">
        <v>86</v>
      </c>
      <c r="L301" s="36" t="s">
        <v>369</v>
      </c>
      <c r="M301" s="103"/>
      <c r="N301" s="88" t="s">
        <v>808</v>
      </c>
      <c r="O301" s="36" t="str">
        <f>VLOOKUP(L301,CECOs!A:B,2,0)</f>
        <v>Aux. Almacén FP</v>
      </c>
      <c r="P301" s="17" t="str">
        <f>VLOOKUP(B:B,CECOs!G:I,3,FALSE)</f>
        <v>AlmacenNoconvencional</v>
      </c>
      <c r="Q301" s="17" t="str">
        <f>IF(_xlfn.XLOOKUP(L301,CECOs!A:A,CECOs!C:C,"")="",K301,_xlfn.XLOOKUP(L301,CECOs!A:A,CECOs!C:C,""))</f>
        <v>CASAL, GUSTAVO</v>
      </c>
      <c r="R301" s="17" t="s">
        <v>38</v>
      </c>
      <c r="S301" s="17" t="s">
        <v>45</v>
      </c>
      <c r="T301" s="17" t="s">
        <v>57</v>
      </c>
      <c r="U301" s="17" t="s">
        <v>371</v>
      </c>
      <c r="V301" s="17" t="s">
        <v>95</v>
      </c>
      <c r="W301" s="17"/>
      <c r="X301" s="17"/>
      <c r="Y301" s="17"/>
      <c r="Z301" s="17"/>
      <c r="AA301" s="17"/>
      <c r="AB301" s="17" t="s">
        <v>49</v>
      </c>
      <c r="AC301" s="17"/>
      <c r="AD301" s="17" t="s">
        <v>50</v>
      </c>
      <c r="AE301" s="17"/>
      <c r="AF301" s="17"/>
      <c r="AG301" s="17"/>
      <c r="AH301" s="17"/>
      <c r="AI301" s="17"/>
      <c r="AJ301" s="17"/>
      <c r="AK301" s="29"/>
    </row>
    <row r="302" spans="1:37" ht="9.9499999999999993">
      <c r="A302" s="29">
        <v>46266</v>
      </c>
      <c r="B302" s="22">
        <v>3393067</v>
      </c>
      <c r="C302" s="17" t="s">
        <v>809</v>
      </c>
      <c r="D302" s="17" t="s">
        <v>38</v>
      </c>
      <c r="E302" s="17" t="s">
        <v>38</v>
      </c>
      <c r="F302" s="17"/>
      <c r="G302" s="17" t="str">
        <f>Table1[[#This Row],[DESCRIPCION_POSICION]]</f>
        <v>Ingresante de Almacén</v>
      </c>
      <c r="H302" s="17" t="s">
        <v>810</v>
      </c>
      <c r="I302" s="17" t="s">
        <v>40</v>
      </c>
      <c r="J302" s="17" t="s">
        <v>68</v>
      </c>
      <c r="K302" s="17" t="s">
        <v>86</v>
      </c>
      <c r="L302" s="36" t="s">
        <v>369</v>
      </c>
      <c r="M302" s="103"/>
      <c r="N302" s="88" t="s">
        <v>811</v>
      </c>
      <c r="O302" s="36" t="str">
        <f>VLOOKUP(L302,CECOs!A:B,2,0)</f>
        <v>Aux. Almacén FP</v>
      </c>
      <c r="P302" s="17" t="str">
        <f>VLOOKUP(B:B,CECOs!G:I,3,FALSE)</f>
        <v>AlmacenNoconvencional</v>
      </c>
      <c r="Q302" s="17" t="str">
        <f>IF(_xlfn.XLOOKUP(L302,CECOs!A:A,CECOs!C:C,"")="",K302,_xlfn.XLOOKUP(L302,CECOs!A:A,CECOs!C:C,""))</f>
        <v>CASAL, GUSTAVO</v>
      </c>
      <c r="R302" s="17" t="s">
        <v>38</v>
      </c>
      <c r="S302" s="17" t="s">
        <v>45</v>
      </c>
      <c r="T302" s="17" t="s">
        <v>57</v>
      </c>
      <c r="U302" s="17" t="s">
        <v>371</v>
      </c>
      <c r="V302" s="17" t="s">
        <v>95</v>
      </c>
      <c r="W302" s="17"/>
      <c r="X302" s="17"/>
      <c r="Y302" s="17"/>
      <c r="Z302" s="17"/>
      <c r="AA302" s="17"/>
      <c r="AB302" s="17" t="s">
        <v>49</v>
      </c>
      <c r="AC302" s="17"/>
      <c r="AD302" s="17" t="s">
        <v>50</v>
      </c>
      <c r="AE302" s="17"/>
      <c r="AF302" s="17"/>
      <c r="AG302" s="17"/>
      <c r="AH302" s="17"/>
      <c r="AI302" s="17"/>
      <c r="AJ302" s="17"/>
      <c r="AK302" s="29"/>
    </row>
    <row r="303" spans="1:37" ht="9.9499999999999993">
      <c r="A303" s="29">
        <v>46266</v>
      </c>
      <c r="B303" s="22">
        <v>3393068</v>
      </c>
      <c r="C303" s="17" t="s">
        <v>812</v>
      </c>
      <c r="D303" s="17" t="s">
        <v>38</v>
      </c>
      <c r="E303" s="17" t="s">
        <v>38</v>
      </c>
      <c r="F303" s="17"/>
      <c r="G303" s="17" t="str">
        <f>Table1[[#This Row],[DESCRIPCION_POSICION]]</f>
        <v>Medio Oficial Sr. de Almacén</v>
      </c>
      <c r="H303" s="17" t="s">
        <v>813</v>
      </c>
      <c r="I303" s="17" t="s">
        <v>40</v>
      </c>
      <c r="J303" s="17" t="s">
        <v>68</v>
      </c>
      <c r="K303" s="17" t="s">
        <v>86</v>
      </c>
      <c r="L303" s="36" t="s">
        <v>369</v>
      </c>
      <c r="M303" s="103"/>
      <c r="N303" s="88" t="s">
        <v>814</v>
      </c>
      <c r="O303" s="36" t="str">
        <f>VLOOKUP(L303,CECOs!A:B,2,0)</f>
        <v>Aux. Almacén FP</v>
      </c>
      <c r="P303" s="17" t="str">
        <f>VLOOKUP(B:B,CECOs!G:I,3,FALSE)</f>
        <v>AlmacenNoconvencional</v>
      </c>
      <c r="Q303" s="17" t="str">
        <f>IF(_xlfn.XLOOKUP(L303,CECOs!A:A,CECOs!C:C,"")="",K303,_xlfn.XLOOKUP(L303,CECOs!A:A,CECOs!C:C,""))</f>
        <v>CASAL, GUSTAVO</v>
      </c>
      <c r="R303" s="17" t="s">
        <v>38</v>
      </c>
      <c r="S303" s="17" t="s">
        <v>45</v>
      </c>
      <c r="T303" s="17" t="s">
        <v>57</v>
      </c>
      <c r="U303" s="17" t="s">
        <v>371</v>
      </c>
      <c r="V303" s="17" t="s">
        <v>95</v>
      </c>
      <c r="W303" s="17"/>
      <c r="X303" s="17"/>
      <c r="Y303" s="17"/>
      <c r="Z303" s="17"/>
      <c r="AA303" s="17"/>
      <c r="AB303" s="17" t="s">
        <v>49</v>
      </c>
      <c r="AC303" s="17"/>
      <c r="AD303" s="17" t="s">
        <v>50</v>
      </c>
      <c r="AE303" s="17"/>
      <c r="AF303" s="17"/>
      <c r="AG303" s="17"/>
      <c r="AH303" s="17"/>
      <c r="AI303" s="17"/>
      <c r="AJ303" s="17"/>
      <c r="AK303" s="29"/>
    </row>
    <row r="304" spans="1:37" ht="9.9499999999999993">
      <c r="A304" s="29">
        <v>46266</v>
      </c>
      <c r="B304" s="22">
        <v>3393069</v>
      </c>
      <c r="C304" s="17" t="s">
        <v>422</v>
      </c>
      <c r="D304" s="17" t="s">
        <v>38</v>
      </c>
      <c r="E304" s="17" t="s">
        <v>38</v>
      </c>
      <c r="F304" s="17"/>
      <c r="G304" s="17" t="str">
        <f>Table1[[#This Row],[DESCRIPCION_POSICION]]</f>
        <v>Oficial Sr. de Oficios</v>
      </c>
      <c r="H304" s="17" t="s">
        <v>815</v>
      </c>
      <c r="I304" s="17" t="s">
        <v>40</v>
      </c>
      <c r="J304" s="17" t="s">
        <v>68</v>
      </c>
      <c r="K304" s="17" t="s">
        <v>86</v>
      </c>
      <c r="L304" s="36" t="s">
        <v>816</v>
      </c>
      <c r="M304" s="103"/>
      <c r="N304" s="38" t="s">
        <v>817</v>
      </c>
      <c r="O304" s="36" t="str">
        <f>VLOOKUP(L304,CECOs!A:B,2,0)</f>
        <v>T. Grales Serge Fp</v>
      </c>
      <c r="P304" s="17" t="str">
        <f>VLOOKUP(B:B,CECOs!G:I,3,FALSE)</f>
        <v>Serviciosgenerales</v>
      </c>
      <c r="Q304" s="17" t="str">
        <f>IF(_xlfn.XLOOKUP(L304,CECOs!A:A,CECOs!C:C,"")="",K304,_xlfn.XLOOKUP(L304,CECOs!A:A,CECOs!C:C,""))</f>
        <v>CASAL, GUSTAVO</v>
      </c>
      <c r="R304" s="17" t="s">
        <v>38</v>
      </c>
      <c r="S304" s="17" t="s">
        <v>45</v>
      </c>
      <c r="T304" s="17" t="s">
        <v>57</v>
      </c>
      <c r="U304" s="17" t="s">
        <v>143</v>
      </c>
      <c r="V304" s="17" t="s">
        <v>95</v>
      </c>
      <c r="W304" s="17"/>
      <c r="X304" s="17"/>
      <c r="Y304" s="17"/>
      <c r="Z304" s="17"/>
      <c r="AA304" s="17"/>
      <c r="AB304" s="17" t="s">
        <v>49</v>
      </c>
      <c r="AC304" s="17"/>
      <c r="AD304" s="17" t="s">
        <v>50</v>
      </c>
      <c r="AE304" s="17"/>
      <c r="AF304" s="17"/>
      <c r="AG304" s="17"/>
      <c r="AH304" s="17"/>
      <c r="AI304" s="17"/>
      <c r="AJ304" s="17"/>
      <c r="AK304" s="29"/>
    </row>
    <row r="305" spans="1:37" ht="9.9499999999999993">
      <c r="A305" s="29">
        <v>46266</v>
      </c>
      <c r="B305" s="22">
        <v>3393070</v>
      </c>
      <c r="C305" s="17" t="s">
        <v>410</v>
      </c>
      <c r="D305" s="17" t="s">
        <v>38</v>
      </c>
      <c r="E305" s="17" t="s">
        <v>38</v>
      </c>
      <c r="F305" s="17"/>
      <c r="G305" s="17" t="str">
        <f>Table1[[#This Row],[DESCRIPCION_POSICION]]</f>
        <v>Oficial de Oficios</v>
      </c>
      <c r="H305" s="17" t="s">
        <v>818</v>
      </c>
      <c r="I305" s="17" t="s">
        <v>40</v>
      </c>
      <c r="J305" s="17" t="s">
        <v>68</v>
      </c>
      <c r="K305" s="17" t="s">
        <v>86</v>
      </c>
      <c r="L305" s="36" t="s">
        <v>816</v>
      </c>
      <c r="M305" s="103"/>
      <c r="N305" s="38" t="s">
        <v>819</v>
      </c>
      <c r="O305" s="36" t="str">
        <f>VLOOKUP(L305,CECOs!A:B,2,0)</f>
        <v>T. Grales Serge Fp</v>
      </c>
      <c r="P305" s="17" t="str">
        <f>VLOOKUP(B:B,CECOs!G:I,3,FALSE)</f>
        <v>Serviciosgenerales</v>
      </c>
      <c r="Q305" s="17" t="str">
        <f>IF(_xlfn.XLOOKUP(L305,CECOs!A:A,CECOs!C:C,"")="",K305,_xlfn.XLOOKUP(L305,CECOs!A:A,CECOs!C:C,""))</f>
        <v>CASAL, GUSTAVO</v>
      </c>
      <c r="R305" s="17" t="s">
        <v>38</v>
      </c>
      <c r="S305" s="17" t="s">
        <v>45</v>
      </c>
      <c r="T305" s="17" t="s">
        <v>57</v>
      </c>
      <c r="U305" s="17" t="s">
        <v>143</v>
      </c>
      <c r="V305" s="17" t="s">
        <v>95</v>
      </c>
      <c r="W305" s="17"/>
      <c r="X305" s="17"/>
      <c r="Y305" s="17"/>
      <c r="Z305" s="17"/>
      <c r="AA305" s="17"/>
      <c r="AB305" s="17" t="s">
        <v>49</v>
      </c>
      <c r="AC305" s="17"/>
      <c r="AD305" s="17" t="s">
        <v>50</v>
      </c>
      <c r="AE305" s="17"/>
      <c r="AF305" s="17"/>
      <c r="AG305" s="17"/>
      <c r="AH305" s="17"/>
      <c r="AI305" s="17"/>
      <c r="AJ305" s="17"/>
      <c r="AK305" s="29"/>
    </row>
    <row r="306" spans="1:37" ht="9.9499999999999993">
      <c r="A306" s="29">
        <v>46266</v>
      </c>
      <c r="B306" s="22">
        <v>3393071</v>
      </c>
      <c r="C306" s="17" t="s">
        <v>410</v>
      </c>
      <c r="D306" s="17" t="s">
        <v>38</v>
      </c>
      <c r="E306" s="17" t="s">
        <v>38</v>
      </c>
      <c r="F306" s="17"/>
      <c r="G306" s="17" t="str">
        <f>Table1[[#This Row],[DESCRIPCION_POSICION]]</f>
        <v>Oficial de Oficios</v>
      </c>
      <c r="H306" s="40" t="s">
        <v>820</v>
      </c>
      <c r="I306" s="17" t="s">
        <v>40</v>
      </c>
      <c r="J306" s="17" t="s">
        <v>68</v>
      </c>
      <c r="K306" s="17" t="s">
        <v>86</v>
      </c>
      <c r="L306" s="36" t="s">
        <v>816</v>
      </c>
      <c r="M306" s="103"/>
      <c r="N306" s="28" t="s">
        <v>821</v>
      </c>
      <c r="O306" s="36" t="str">
        <f>VLOOKUP(L306,CECOs!A:B,2,0)</f>
        <v>T. Grales Serge Fp</v>
      </c>
      <c r="P306" s="17" t="str">
        <f>VLOOKUP(B:B,CECOs!G:I,3,FALSE)</f>
        <v>Serviciosgenerales</v>
      </c>
      <c r="Q306" s="17" t="str">
        <f>IF(_xlfn.XLOOKUP(L306,CECOs!A:A,CECOs!C:C,"")="",K306,_xlfn.XLOOKUP(L306,CECOs!A:A,CECOs!C:C,""))</f>
        <v>CASAL, GUSTAVO</v>
      </c>
      <c r="R306" s="17" t="s">
        <v>38</v>
      </c>
      <c r="S306" s="17" t="s">
        <v>45</v>
      </c>
      <c r="T306" s="17" t="s">
        <v>57</v>
      </c>
      <c r="U306" s="17" t="s">
        <v>143</v>
      </c>
      <c r="V306" s="17" t="s">
        <v>95</v>
      </c>
      <c r="W306" s="17"/>
      <c r="X306" s="17"/>
      <c r="Y306" s="17"/>
      <c r="Z306" s="17"/>
      <c r="AA306" s="17"/>
      <c r="AB306" s="17" t="s">
        <v>49</v>
      </c>
      <c r="AC306" s="17"/>
      <c r="AD306" s="17" t="s">
        <v>50</v>
      </c>
      <c r="AE306" s="17"/>
      <c r="AF306" s="17"/>
      <c r="AG306" s="17"/>
      <c r="AH306" s="17"/>
      <c r="AI306" s="17"/>
      <c r="AJ306" s="17"/>
      <c r="AK306" s="29"/>
    </row>
    <row r="307" spans="1:37" ht="9.9499999999999993">
      <c r="A307" s="29">
        <v>46266</v>
      </c>
      <c r="B307" s="22">
        <v>3393072</v>
      </c>
      <c r="C307" s="17" t="s">
        <v>410</v>
      </c>
      <c r="D307" s="17" t="s">
        <v>38</v>
      </c>
      <c r="E307" s="17" t="s">
        <v>38</v>
      </c>
      <c r="F307" s="17"/>
      <c r="G307" s="17" t="str">
        <f>Table1[[#This Row],[DESCRIPCION_POSICION]]</f>
        <v>Oficial de Oficios</v>
      </c>
      <c r="H307" s="17" t="s">
        <v>822</v>
      </c>
      <c r="I307" s="17" t="s">
        <v>40</v>
      </c>
      <c r="J307" s="17" t="s">
        <v>68</v>
      </c>
      <c r="K307" s="17" t="s">
        <v>86</v>
      </c>
      <c r="L307" s="36" t="s">
        <v>816</v>
      </c>
      <c r="M307" s="103"/>
      <c r="N307" s="38" t="s">
        <v>823</v>
      </c>
      <c r="O307" s="36" t="str">
        <f>VLOOKUP(L307,CECOs!A:B,2,0)</f>
        <v>T. Grales Serge Fp</v>
      </c>
      <c r="P307" s="17" t="str">
        <f>VLOOKUP(B:B,CECOs!G:I,3,FALSE)</f>
        <v>Serviciosgenerales</v>
      </c>
      <c r="Q307" s="17" t="str">
        <f>IF(_xlfn.XLOOKUP(L307,CECOs!A:A,CECOs!C:C,"")="",K307,_xlfn.XLOOKUP(L307,CECOs!A:A,CECOs!C:C,""))</f>
        <v>CASAL, GUSTAVO</v>
      </c>
      <c r="R307" s="17" t="s">
        <v>38</v>
      </c>
      <c r="S307" s="17" t="s">
        <v>45</v>
      </c>
      <c r="T307" s="17" t="s">
        <v>57</v>
      </c>
      <c r="U307" s="17" t="s">
        <v>143</v>
      </c>
      <c r="V307" s="17" t="s">
        <v>95</v>
      </c>
      <c r="W307" s="17"/>
      <c r="X307" s="17"/>
      <c r="Y307" s="17"/>
      <c r="Z307" s="17"/>
      <c r="AA307" s="17"/>
      <c r="AB307" s="17" t="s">
        <v>49</v>
      </c>
      <c r="AC307" s="17"/>
      <c r="AD307" s="17" t="s">
        <v>50</v>
      </c>
      <c r="AE307" s="17"/>
      <c r="AF307" s="17"/>
      <c r="AG307" s="17"/>
      <c r="AH307" s="17"/>
      <c r="AI307" s="17"/>
      <c r="AJ307" s="17"/>
      <c r="AK307" s="29"/>
    </row>
    <row r="308" spans="1:37" ht="9.9499999999999993">
      <c r="A308" s="29">
        <v>46266</v>
      </c>
      <c r="B308" s="22">
        <v>3393073</v>
      </c>
      <c r="C308" s="17" t="s">
        <v>422</v>
      </c>
      <c r="D308" s="17" t="s">
        <v>38</v>
      </c>
      <c r="E308" s="17" t="s">
        <v>38</v>
      </c>
      <c r="F308" s="17"/>
      <c r="G308" s="17" t="str">
        <f>Table1[[#This Row],[DESCRIPCION_POSICION]]</f>
        <v>Oficial Sr. de Oficios</v>
      </c>
      <c r="H308" s="17" t="s">
        <v>824</v>
      </c>
      <c r="I308" s="17" t="s">
        <v>40</v>
      </c>
      <c r="J308" s="17" t="s">
        <v>68</v>
      </c>
      <c r="K308" s="17" t="s">
        <v>86</v>
      </c>
      <c r="L308" s="36" t="s">
        <v>816</v>
      </c>
      <c r="M308" s="103"/>
      <c r="N308" s="38" t="s">
        <v>825</v>
      </c>
      <c r="O308" s="36" t="str">
        <f>VLOOKUP(L308,CECOs!A:B,2,0)</f>
        <v>T. Grales Serge Fp</v>
      </c>
      <c r="P308" s="17" t="str">
        <f>VLOOKUP(B:B,CECOs!G:I,3,FALSE)</f>
        <v>Serviciosgenerales</v>
      </c>
      <c r="Q308" s="17" t="str">
        <f>IF(_xlfn.XLOOKUP(L308,CECOs!A:A,CECOs!C:C,"")="",K308,_xlfn.XLOOKUP(L308,CECOs!A:A,CECOs!C:C,""))</f>
        <v>CASAL, GUSTAVO</v>
      </c>
      <c r="R308" s="17" t="s">
        <v>38</v>
      </c>
      <c r="S308" s="17" t="s">
        <v>45</v>
      </c>
      <c r="T308" s="17" t="s">
        <v>57</v>
      </c>
      <c r="U308" s="17" t="s">
        <v>143</v>
      </c>
      <c r="V308" s="17" t="s">
        <v>95</v>
      </c>
      <c r="W308" s="17"/>
      <c r="X308" s="17"/>
      <c r="Y308" s="17"/>
      <c r="Z308" s="17"/>
      <c r="AA308" s="17"/>
      <c r="AB308" s="17" t="s">
        <v>49</v>
      </c>
      <c r="AC308" s="17"/>
      <c r="AD308" s="17" t="s">
        <v>50</v>
      </c>
      <c r="AE308" s="17"/>
      <c r="AF308" s="17"/>
      <c r="AG308" s="17"/>
      <c r="AH308" s="17"/>
      <c r="AI308" s="17"/>
      <c r="AJ308" s="17"/>
      <c r="AK308" s="29"/>
    </row>
    <row r="309" spans="1:37" ht="9.9499999999999993">
      <c r="A309" s="29">
        <v>46266</v>
      </c>
      <c r="B309" s="22">
        <v>3393074</v>
      </c>
      <c r="C309" s="17" t="s">
        <v>410</v>
      </c>
      <c r="D309" s="17" t="s">
        <v>38</v>
      </c>
      <c r="E309" s="17" t="s">
        <v>38</v>
      </c>
      <c r="F309" s="17"/>
      <c r="G309" s="17" t="str">
        <f>Table1[[#This Row],[DESCRIPCION_POSICION]]</f>
        <v>Oficial de Oficios</v>
      </c>
      <c r="H309" s="17" t="s">
        <v>826</v>
      </c>
      <c r="I309" s="17" t="s">
        <v>40</v>
      </c>
      <c r="J309" s="17" t="s">
        <v>68</v>
      </c>
      <c r="K309" s="17" t="s">
        <v>86</v>
      </c>
      <c r="L309" s="36" t="s">
        <v>816</v>
      </c>
      <c r="M309" s="103"/>
      <c r="N309" s="38" t="s">
        <v>827</v>
      </c>
      <c r="O309" s="36" t="str">
        <f>VLOOKUP(L309,CECOs!A:B,2,0)</f>
        <v>T. Grales Serge Fp</v>
      </c>
      <c r="P309" s="17" t="str">
        <f>VLOOKUP(B:B,CECOs!G:I,3,FALSE)</f>
        <v>Serviciosgenerales</v>
      </c>
      <c r="Q309" s="17" t="str">
        <f>IF(_xlfn.XLOOKUP(L309,CECOs!A:A,CECOs!C:C,"")="",K309,_xlfn.XLOOKUP(L309,CECOs!A:A,CECOs!C:C,""))</f>
        <v>CASAL, GUSTAVO</v>
      </c>
      <c r="R309" s="17" t="s">
        <v>38</v>
      </c>
      <c r="S309" s="17" t="s">
        <v>45</v>
      </c>
      <c r="T309" s="17" t="s">
        <v>57</v>
      </c>
      <c r="U309" s="17" t="s">
        <v>143</v>
      </c>
      <c r="V309" s="17" t="s">
        <v>95</v>
      </c>
      <c r="W309" s="17"/>
      <c r="X309" s="17"/>
      <c r="Y309" s="17"/>
      <c r="Z309" s="17"/>
      <c r="AA309" s="17"/>
      <c r="AB309" s="17" t="s">
        <v>49</v>
      </c>
      <c r="AC309" s="17"/>
      <c r="AD309" s="17" t="s">
        <v>50</v>
      </c>
      <c r="AE309" s="17"/>
      <c r="AF309" s="17"/>
      <c r="AG309" s="17"/>
      <c r="AH309" s="17"/>
      <c r="AI309" s="17"/>
      <c r="AJ309" s="17"/>
      <c r="AK309" s="29"/>
    </row>
    <row r="310" spans="1:37" ht="9.9499999999999993">
      <c r="A310" s="29">
        <v>46266</v>
      </c>
      <c r="B310" s="22">
        <v>3393253</v>
      </c>
      <c r="C310" s="17" t="s">
        <v>410</v>
      </c>
      <c r="D310" s="17" t="s">
        <v>38</v>
      </c>
      <c r="E310" s="17" t="s">
        <v>38</v>
      </c>
      <c r="F310" s="17"/>
      <c r="G310" s="17" t="str">
        <f>Table1[[#This Row],[DESCRIPCION_POSICION]]</f>
        <v>Oficial de Oficios</v>
      </c>
      <c r="H310" s="17" t="s">
        <v>828</v>
      </c>
      <c r="I310" s="17" t="s">
        <v>40</v>
      </c>
      <c r="J310" s="17" t="s">
        <v>68</v>
      </c>
      <c r="K310" s="17" t="s">
        <v>73</v>
      </c>
      <c r="L310" s="36" t="s">
        <v>829</v>
      </c>
      <c r="M310" s="103"/>
      <c r="N310" s="28" t="s">
        <v>830</v>
      </c>
      <c r="O310" s="36" t="str">
        <f>VLOOKUP(L310,CECOs!A:B,2,0)</f>
        <v>T. Grales Serge LT2E</v>
      </c>
      <c r="P310" s="17" t="str">
        <f>VLOOKUP(B:B,CECOs!G:I,3,FALSE)</f>
        <v>Serviciosgenerales</v>
      </c>
      <c r="Q310" s="17" t="str">
        <f>IF(_xlfn.XLOOKUP(L310,CECOs!A:A,CECOs!C:C,"")="",K310,_xlfn.XLOOKUP(L310,CECOs!A:A,CECOs!C:C,""))</f>
        <v>MERCADO, MAURICIO / FREDES, RUBEN</v>
      </c>
      <c r="R310" s="17" t="s">
        <v>38</v>
      </c>
      <c r="S310" s="17" t="s">
        <v>45</v>
      </c>
      <c r="T310" s="17" t="s">
        <v>57</v>
      </c>
      <c r="U310" s="17" t="s">
        <v>143</v>
      </c>
      <c r="V310" s="17" t="s">
        <v>95</v>
      </c>
      <c r="W310" s="17"/>
      <c r="X310" s="17"/>
      <c r="Y310" s="17"/>
      <c r="Z310" s="17"/>
      <c r="AA310" s="17"/>
      <c r="AB310" s="17" t="s">
        <v>49</v>
      </c>
      <c r="AC310" s="17"/>
      <c r="AD310" s="17" t="s">
        <v>831</v>
      </c>
      <c r="AE310" s="17"/>
      <c r="AF310" s="17"/>
      <c r="AG310" s="17"/>
      <c r="AH310" s="17"/>
      <c r="AI310" s="17"/>
      <c r="AJ310" s="17"/>
      <c r="AK310" s="29"/>
    </row>
    <row r="311" spans="1:37">
      <c r="A311" s="29">
        <v>46266</v>
      </c>
      <c r="B311" s="22">
        <v>3393075</v>
      </c>
      <c r="C311" s="17" t="s">
        <v>213</v>
      </c>
      <c r="D311" s="17" t="s">
        <v>38</v>
      </c>
      <c r="E311" s="17" t="s">
        <v>38</v>
      </c>
      <c r="F311" s="17"/>
      <c r="G311" s="17" t="str">
        <f>Table1[[#This Row],[DESCRIPCION_POSICION]]</f>
        <v>Recorredor Especializado</v>
      </c>
      <c r="H311" s="96"/>
      <c r="I311" s="17" t="s">
        <v>40</v>
      </c>
      <c r="J311" s="17" t="s">
        <v>68</v>
      </c>
      <c r="K311" s="17" t="s">
        <v>832</v>
      </c>
      <c r="L311" s="36" t="s">
        <v>476</v>
      </c>
      <c r="M311" s="103"/>
      <c r="N311" s="98"/>
      <c r="O311" s="36" t="str">
        <f>VLOOKUP(L148,CECOs!A:B,2,0)</f>
        <v>Oper campo LT2E</v>
      </c>
      <c r="P311" s="17" t="str">
        <f>VLOOKUP(B:B,CECOs!G:I,3,FALSE)</f>
        <v>OperadordeCampo</v>
      </c>
      <c r="Q311" s="17" t="str">
        <f>IF(_xlfn.XLOOKUP(L148,CECOs!A:A,CECOs!C:C,"")="",K311,_xlfn.XLOOKUP(L148,CECOs!A:A,CECOs!C:C,""))</f>
        <v>MERCADO, MAURICIO / FREDES, RUBEN</v>
      </c>
      <c r="R311" s="17" t="s">
        <v>38</v>
      </c>
      <c r="S311" s="17" t="s">
        <v>45</v>
      </c>
      <c r="T311" s="17" t="s">
        <v>61</v>
      </c>
      <c r="U311" s="17" t="s">
        <v>217</v>
      </c>
      <c r="V311" s="17" t="s">
        <v>95</v>
      </c>
      <c r="W311" s="17"/>
      <c r="X311" s="17"/>
      <c r="Y311" s="17"/>
      <c r="Z311" s="17"/>
      <c r="AA311" s="17"/>
      <c r="AB311" s="17" t="s">
        <v>49</v>
      </c>
      <c r="AC311" s="17"/>
      <c r="AD311" s="17" t="s">
        <v>50</v>
      </c>
      <c r="AE311" s="17"/>
      <c r="AF311" s="17"/>
      <c r="AG311" s="17"/>
      <c r="AH311" s="17"/>
      <c r="AI311" s="17"/>
      <c r="AJ311" s="17"/>
      <c r="AK311" s="29"/>
    </row>
    <row r="312" spans="1:37" ht="9.9499999999999993">
      <c r="A312" s="29">
        <v>46266</v>
      </c>
      <c r="B312" s="22">
        <v>3393076</v>
      </c>
      <c r="C312" s="17" t="s">
        <v>213</v>
      </c>
      <c r="D312" s="17" t="s">
        <v>38</v>
      </c>
      <c r="E312" s="17" t="s">
        <v>38</v>
      </c>
      <c r="F312" s="17"/>
      <c r="G312" s="17" t="str">
        <f>Table1[[#This Row],[DESCRIPCION_POSICION]]</f>
        <v>Recorredor Especializado</v>
      </c>
      <c r="H312" s="22" t="s">
        <v>833</v>
      </c>
      <c r="I312" s="17" t="s">
        <v>40</v>
      </c>
      <c r="J312" s="17" t="s">
        <v>68</v>
      </c>
      <c r="K312" s="17" t="s">
        <v>832</v>
      </c>
      <c r="L312" s="36" t="s">
        <v>476</v>
      </c>
      <c r="M312" s="103"/>
      <c r="N312" s="37" t="s">
        <v>834</v>
      </c>
      <c r="O312" s="36" t="str">
        <f>VLOOKUP(L312,CECOs!A:B,2,0)</f>
        <v>Oper campo LT2E</v>
      </c>
      <c r="P312" s="17" t="str">
        <f>VLOOKUP(B:B,CECOs!G:I,3,FALSE)</f>
        <v>OperadordeCampo</v>
      </c>
      <c r="Q312" s="17" t="str">
        <f>IF(_xlfn.XLOOKUP(L312,CECOs!A:A,CECOs!C:C,"")="",K312,_xlfn.XLOOKUP(L312,CECOs!A:A,CECOs!C:C,""))</f>
        <v>MERCADO, MAURICIO / FREDES, RUBEN</v>
      </c>
      <c r="R312" s="17" t="s">
        <v>38</v>
      </c>
      <c r="S312" s="17" t="s">
        <v>45</v>
      </c>
      <c r="T312" s="17" t="s">
        <v>61</v>
      </c>
      <c r="U312" s="17" t="s">
        <v>217</v>
      </c>
      <c r="V312" s="17" t="s">
        <v>95</v>
      </c>
      <c r="W312" s="17"/>
      <c r="X312" s="17"/>
      <c r="Y312" s="17"/>
      <c r="Z312" s="17"/>
      <c r="AA312" s="17"/>
      <c r="AB312" s="17" t="s">
        <v>49</v>
      </c>
      <c r="AC312" s="17"/>
      <c r="AD312" s="17" t="s">
        <v>50</v>
      </c>
      <c r="AE312" s="17"/>
      <c r="AF312" s="17"/>
      <c r="AG312" s="17"/>
      <c r="AH312" s="17"/>
      <c r="AI312" s="17"/>
      <c r="AJ312" s="17"/>
      <c r="AK312" s="29"/>
    </row>
    <row r="313" spans="1:37" ht="9.9499999999999993">
      <c r="A313" s="29">
        <v>46266</v>
      </c>
      <c r="B313" s="22">
        <v>3393077</v>
      </c>
      <c r="C313" s="17" t="s">
        <v>213</v>
      </c>
      <c r="D313" s="17" t="s">
        <v>38</v>
      </c>
      <c r="E313" s="17" t="s">
        <v>38</v>
      </c>
      <c r="F313" s="17"/>
      <c r="G313" s="17" t="str">
        <f>Table1[[#This Row],[DESCRIPCION_POSICION]]</f>
        <v>Recorredor Especializado</v>
      </c>
      <c r="H313" s="17" t="s">
        <v>835</v>
      </c>
      <c r="I313" s="17" t="s">
        <v>40</v>
      </c>
      <c r="J313" s="17" t="s">
        <v>68</v>
      </c>
      <c r="K313" s="17" t="s">
        <v>832</v>
      </c>
      <c r="L313" s="36" t="s">
        <v>476</v>
      </c>
      <c r="M313" s="103"/>
      <c r="N313" s="37" t="s">
        <v>836</v>
      </c>
      <c r="O313" s="36" t="str">
        <f>VLOOKUP(L313,CECOs!A:B,2,0)</f>
        <v>Oper campo LT2E</v>
      </c>
      <c r="P313" s="17" t="str">
        <f>VLOOKUP(B:B,CECOs!G:I,3,FALSE)</f>
        <v>OperadordeCampo</v>
      </c>
      <c r="Q313" s="17" t="str">
        <f>IF(_xlfn.XLOOKUP(L313,CECOs!A:A,CECOs!C:C,"")="",K313,_xlfn.XLOOKUP(L313,CECOs!A:A,CECOs!C:C,""))</f>
        <v>MERCADO, MAURICIO / FREDES, RUBEN</v>
      </c>
      <c r="R313" s="17" t="s">
        <v>38</v>
      </c>
      <c r="S313" s="17" t="s">
        <v>45</v>
      </c>
      <c r="T313" s="17" t="s">
        <v>61</v>
      </c>
      <c r="U313" s="17" t="s">
        <v>217</v>
      </c>
      <c r="V313" s="17" t="s">
        <v>95</v>
      </c>
      <c r="W313" s="17"/>
      <c r="X313" s="17"/>
      <c r="Y313" s="17"/>
      <c r="Z313" s="17"/>
      <c r="AA313" s="17"/>
      <c r="AB313" s="17" t="s">
        <v>49</v>
      </c>
      <c r="AC313" s="17"/>
      <c r="AD313" s="17" t="s">
        <v>50</v>
      </c>
      <c r="AE313" s="17"/>
      <c r="AF313" s="17"/>
      <c r="AG313" s="17"/>
      <c r="AH313" s="17"/>
      <c r="AI313" s="17"/>
      <c r="AJ313" s="17"/>
      <c r="AK313" s="29"/>
    </row>
    <row r="314" spans="1:37" ht="9.9499999999999993">
      <c r="A314" s="29">
        <v>46266</v>
      </c>
      <c r="B314" s="22">
        <v>3393078</v>
      </c>
      <c r="C314" s="17" t="s">
        <v>213</v>
      </c>
      <c r="D314" s="17" t="s">
        <v>38</v>
      </c>
      <c r="E314" s="17" t="s">
        <v>38</v>
      </c>
      <c r="F314" s="17"/>
      <c r="G314" s="17" t="str">
        <f>Table1[[#This Row],[DESCRIPCION_POSICION]]</f>
        <v>Recorredor Especializado</v>
      </c>
      <c r="H314" s="22" t="s">
        <v>837</v>
      </c>
      <c r="I314" s="17" t="s">
        <v>40</v>
      </c>
      <c r="J314" s="17" t="s">
        <v>68</v>
      </c>
      <c r="K314" s="17" t="s">
        <v>832</v>
      </c>
      <c r="L314" s="36" t="s">
        <v>476</v>
      </c>
      <c r="M314" s="103"/>
      <c r="N314" s="37" t="s">
        <v>838</v>
      </c>
      <c r="O314" s="36" t="str">
        <f>VLOOKUP(L314,CECOs!A:B,2,0)</f>
        <v>Oper campo LT2E</v>
      </c>
      <c r="P314" s="17" t="str">
        <f>VLOOKUP(B:B,CECOs!G:I,3,FALSE)</f>
        <v>OperadordeCampo</v>
      </c>
      <c r="Q314" s="17" t="str">
        <f>IF(_xlfn.XLOOKUP(L314,CECOs!A:A,CECOs!C:C,"")="",K314,_xlfn.XLOOKUP(L314,CECOs!A:A,CECOs!C:C,""))</f>
        <v>MERCADO, MAURICIO / FREDES, RUBEN</v>
      </c>
      <c r="R314" s="17" t="s">
        <v>38</v>
      </c>
      <c r="S314" s="17" t="s">
        <v>45</v>
      </c>
      <c r="T314" s="17" t="s">
        <v>61</v>
      </c>
      <c r="U314" s="17" t="s">
        <v>217</v>
      </c>
      <c r="V314" s="17" t="s">
        <v>95</v>
      </c>
      <c r="W314" s="17"/>
      <c r="X314" s="17"/>
      <c r="Y314" s="17"/>
      <c r="Z314" s="17"/>
      <c r="AA314" s="17"/>
      <c r="AB314" s="17" t="s">
        <v>49</v>
      </c>
      <c r="AC314" s="17"/>
      <c r="AD314" s="17" t="s">
        <v>50</v>
      </c>
      <c r="AE314" s="17"/>
      <c r="AF314" s="17"/>
      <c r="AG314" s="17"/>
      <c r="AH314" s="17"/>
      <c r="AI314" s="17"/>
      <c r="AJ314" s="17"/>
      <c r="AK314" s="29"/>
    </row>
    <row r="315" spans="1:37" ht="9.9499999999999993">
      <c r="A315" s="29">
        <v>46266</v>
      </c>
      <c r="B315" s="22">
        <v>3393079</v>
      </c>
      <c r="C315" s="17" t="s">
        <v>213</v>
      </c>
      <c r="D315" s="17" t="s">
        <v>38</v>
      </c>
      <c r="E315" s="17" t="s">
        <v>38</v>
      </c>
      <c r="F315" s="17"/>
      <c r="G315" s="17" t="str">
        <f>Table1[[#This Row],[DESCRIPCION_POSICION]]</f>
        <v>Recorredor Especializado</v>
      </c>
      <c r="H315" s="17" t="s">
        <v>839</v>
      </c>
      <c r="I315" s="17" t="s">
        <v>40</v>
      </c>
      <c r="J315" s="17" t="s">
        <v>68</v>
      </c>
      <c r="K315" s="17" t="s">
        <v>832</v>
      </c>
      <c r="L315" s="36" t="s">
        <v>476</v>
      </c>
      <c r="M315" s="103"/>
      <c r="N315" s="37" t="s">
        <v>840</v>
      </c>
      <c r="O315" s="36" t="str">
        <f>VLOOKUP(L315,CECOs!A:B,2,0)</f>
        <v>Oper campo LT2E</v>
      </c>
      <c r="P315" s="17" t="str">
        <f>VLOOKUP(B:B,CECOs!G:I,3,FALSE)</f>
        <v>OperadordeCampo</v>
      </c>
      <c r="Q315" s="17" t="str">
        <f>IF(_xlfn.XLOOKUP(L315,CECOs!A:A,CECOs!C:C,"")="",K315,_xlfn.XLOOKUP(L315,CECOs!A:A,CECOs!C:C,""))</f>
        <v>MERCADO, MAURICIO / FREDES, RUBEN</v>
      </c>
      <c r="R315" s="17" t="s">
        <v>38</v>
      </c>
      <c r="S315" s="17" t="s">
        <v>45</v>
      </c>
      <c r="T315" s="17" t="s">
        <v>61</v>
      </c>
      <c r="U315" s="17" t="s">
        <v>217</v>
      </c>
      <c r="V315" s="17" t="s">
        <v>95</v>
      </c>
      <c r="W315" s="17"/>
      <c r="X315" s="17"/>
      <c r="Y315" s="17"/>
      <c r="Z315" s="17"/>
      <c r="AA315" s="17"/>
      <c r="AB315" s="17" t="s">
        <v>49</v>
      </c>
      <c r="AC315" s="17"/>
      <c r="AD315" s="17" t="s">
        <v>50</v>
      </c>
      <c r="AE315" s="17"/>
      <c r="AF315" s="17"/>
      <c r="AG315" s="17"/>
      <c r="AH315" s="17"/>
      <c r="AI315" s="17"/>
      <c r="AJ315" s="17"/>
      <c r="AK315" s="29"/>
    </row>
    <row r="316" spans="1:37" ht="9.9499999999999993">
      <c r="A316" s="29">
        <v>46266</v>
      </c>
      <c r="B316" s="22">
        <v>3393080</v>
      </c>
      <c r="C316" s="17" t="s">
        <v>383</v>
      </c>
      <c r="D316" s="17" t="s">
        <v>38</v>
      </c>
      <c r="E316" s="17" t="s">
        <v>38</v>
      </c>
      <c r="F316" s="17"/>
      <c r="G316" s="17" t="str">
        <f>Table1[[#This Row],[DESCRIPCION_POSICION]]</f>
        <v>Recorredor</v>
      </c>
      <c r="H316" s="22" t="s">
        <v>841</v>
      </c>
      <c r="I316" s="17" t="s">
        <v>40</v>
      </c>
      <c r="J316" s="17" t="s">
        <v>68</v>
      </c>
      <c r="K316" s="17" t="s">
        <v>832</v>
      </c>
      <c r="L316" s="36" t="s">
        <v>476</v>
      </c>
      <c r="M316" s="103"/>
      <c r="N316" s="37" t="s">
        <v>842</v>
      </c>
      <c r="O316" s="36" t="str">
        <f>VLOOKUP(L316,CECOs!A:B,2,0)</f>
        <v>Oper campo LT2E</v>
      </c>
      <c r="P316" s="17" t="str">
        <f>VLOOKUP(B:B,CECOs!G:I,3,FALSE)</f>
        <v>OperadordeCampo</v>
      </c>
      <c r="Q316" s="17" t="str">
        <f>IF(_xlfn.XLOOKUP(L316,CECOs!A:A,CECOs!C:C,"")="",K316,_xlfn.XLOOKUP(L316,CECOs!A:A,CECOs!C:C,""))</f>
        <v>MERCADO, MAURICIO / FREDES, RUBEN</v>
      </c>
      <c r="R316" s="17" t="s">
        <v>38</v>
      </c>
      <c r="S316" s="17" t="s">
        <v>45</v>
      </c>
      <c r="T316" s="17" t="s">
        <v>61</v>
      </c>
      <c r="U316" s="17" t="s">
        <v>217</v>
      </c>
      <c r="V316" s="17" t="s">
        <v>95</v>
      </c>
      <c r="W316" s="17"/>
      <c r="X316" s="17"/>
      <c r="Y316" s="17"/>
      <c r="Z316" s="17"/>
      <c r="AA316" s="17"/>
      <c r="AB316" s="17" t="s">
        <v>49</v>
      </c>
      <c r="AC316" s="17"/>
      <c r="AD316" s="17" t="s">
        <v>50</v>
      </c>
      <c r="AE316" s="17"/>
      <c r="AF316" s="17"/>
      <c r="AG316" s="17"/>
      <c r="AH316" s="17"/>
      <c r="AI316" s="17"/>
      <c r="AJ316" s="17"/>
      <c r="AK316" s="29"/>
    </row>
    <row r="317" spans="1:37" ht="9.9499999999999993">
      <c r="A317" s="29">
        <v>46266</v>
      </c>
      <c r="B317" s="22">
        <v>3393081</v>
      </c>
      <c r="C317" s="17" t="s">
        <v>383</v>
      </c>
      <c r="D317" s="17" t="s">
        <v>38</v>
      </c>
      <c r="E317" s="17" t="s">
        <v>38</v>
      </c>
      <c r="F317" s="17"/>
      <c r="G317" s="17" t="str">
        <f>Table1[[#This Row],[DESCRIPCION_POSICION]]</f>
        <v>Recorredor</v>
      </c>
      <c r="H317" s="17" t="s">
        <v>843</v>
      </c>
      <c r="I317" s="17" t="s">
        <v>40</v>
      </c>
      <c r="J317" s="17" t="s">
        <v>68</v>
      </c>
      <c r="K317" s="17" t="s">
        <v>832</v>
      </c>
      <c r="L317" s="36" t="s">
        <v>476</v>
      </c>
      <c r="M317" s="103"/>
      <c r="N317" s="37" t="s">
        <v>844</v>
      </c>
      <c r="O317" s="36" t="str">
        <f>VLOOKUP(L317,CECOs!A:B,2,0)</f>
        <v>Oper campo LT2E</v>
      </c>
      <c r="P317" s="17" t="str">
        <f>VLOOKUP(B:B,CECOs!G:I,3,FALSE)</f>
        <v>Relevooperación</v>
      </c>
      <c r="Q317" s="17" t="str">
        <f>IF(_xlfn.XLOOKUP(L317,CECOs!A:A,CECOs!C:C,"")="",K317,_xlfn.XLOOKUP(L317,CECOs!A:A,CECOs!C:C,""))</f>
        <v>MERCADO, MAURICIO / FREDES, RUBEN</v>
      </c>
      <c r="R317" s="17" t="s">
        <v>38</v>
      </c>
      <c r="S317" s="17" t="s">
        <v>45</v>
      </c>
      <c r="T317" s="17" t="s">
        <v>61</v>
      </c>
      <c r="U317" s="17" t="s">
        <v>217</v>
      </c>
      <c r="V317" s="17" t="s">
        <v>95</v>
      </c>
      <c r="W317" s="17"/>
      <c r="X317" s="17"/>
      <c r="Y317" s="17"/>
      <c r="Z317" s="17"/>
      <c r="AA317" s="17"/>
      <c r="AB317" s="17" t="s">
        <v>49</v>
      </c>
      <c r="AC317" s="17"/>
      <c r="AD317" s="17" t="s">
        <v>50</v>
      </c>
      <c r="AE317" s="17"/>
      <c r="AF317" s="17"/>
      <c r="AG317" s="17"/>
      <c r="AH317" s="17"/>
      <c r="AI317" s="17"/>
      <c r="AJ317" s="17"/>
      <c r="AK317" s="29"/>
    </row>
    <row r="318" spans="1:37" ht="9.9499999999999993">
      <c r="A318" s="29">
        <v>46266</v>
      </c>
      <c r="B318" s="22">
        <v>3393082</v>
      </c>
      <c r="C318" s="17" t="s">
        <v>845</v>
      </c>
      <c r="D318" s="17" t="s">
        <v>38</v>
      </c>
      <c r="E318" s="17" t="s">
        <v>38</v>
      </c>
      <c r="F318" s="17"/>
      <c r="G318" s="17" t="str">
        <f>Table1[[#This Row],[DESCRIPCION_POSICION]]</f>
        <v>Chofer Transporte Personal (9+1)</v>
      </c>
      <c r="H318" s="22" t="s">
        <v>846</v>
      </c>
      <c r="I318" s="17" t="s">
        <v>40</v>
      </c>
      <c r="J318" s="17" t="s">
        <v>68</v>
      </c>
      <c r="K318" s="17" t="s">
        <v>832</v>
      </c>
      <c r="L318" s="36" t="s">
        <v>847</v>
      </c>
      <c r="M318" s="103"/>
      <c r="N318" s="37" t="s">
        <v>848</v>
      </c>
      <c r="O318" s="36" t="str">
        <f>VLOOKUP(L318,CECOs!A:B,2,0)</f>
        <v>Chofer LT2E</v>
      </c>
      <c r="P318" s="17" t="str">
        <f>VLOOKUP(B:B,CECOs!G:I,3,FALSE)</f>
        <v>Choferes/Logística</v>
      </c>
      <c r="Q318" s="17" t="str">
        <f>IF(_xlfn.XLOOKUP(L318,CECOs!A:A,CECOs!C:C,"")="",K318,_xlfn.XLOOKUP(L318,CECOs!A:A,CECOs!C:C,""))</f>
        <v>MERCADO, MAURICIO / FREDES, RUBEN</v>
      </c>
      <c r="R318" s="17" t="s">
        <v>38</v>
      </c>
      <c r="S318" s="17" t="s">
        <v>45</v>
      </c>
      <c r="T318" s="17" t="s">
        <v>61</v>
      </c>
      <c r="U318" s="17" t="s">
        <v>217</v>
      </c>
      <c r="V318" s="17" t="s">
        <v>95</v>
      </c>
      <c r="W318" s="17"/>
      <c r="X318" s="17"/>
      <c r="Y318" s="17"/>
      <c r="Z318" s="17"/>
      <c r="AA318" s="17"/>
      <c r="AB318" s="17" t="s">
        <v>49</v>
      </c>
      <c r="AC318" s="17"/>
      <c r="AD318" s="17" t="s">
        <v>50</v>
      </c>
      <c r="AE318" s="17"/>
      <c r="AF318" s="17"/>
      <c r="AG318" s="17"/>
      <c r="AH318" s="17"/>
      <c r="AI318" s="17"/>
      <c r="AJ318" s="17"/>
      <c r="AK318" s="29"/>
    </row>
    <row r="319" spans="1:37" ht="9.9499999999999993">
      <c r="A319" s="29">
        <v>46266</v>
      </c>
      <c r="B319" s="22">
        <v>3393083</v>
      </c>
      <c r="C319" s="17" t="s">
        <v>845</v>
      </c>
      <c r="D319" s="17" t="s">
        <v>38</v>
      </c>
      <c r="E319" s="17" t="s">
        <v>38</v>
      </c>
      <c r="F319" s="17"/>
      <c r="G319" s="17" t="str">
        <f>Table1[[#This Row],[DESCRIPCION_POSICION]]</f>
        <v>Chofer Transporte Personal (9+1)</v>
      </c>
      <c r="H319" s="17" t="s">
        <v>849</v>
      </c>
      <c r="I319" s="17" t="s">
        <v>40</v>
      </c>
      <c r="J319" s="17" t="s">
        <v>68</v>
      </c>
      <c r="K319" s="17" t="s">
        <v>832</v>
      </c>
      <c r="L319" s="36" t="s">
        <v>847</v>
      </c>
      <c r="M319" s="103"/>
      <c r="N319" s="37" t="s">
        <v>850</v>
      </c>
      <c r="O319" s="36" t="str">
        <f>VLOOKUP(L319,CECOs!A:B,2,0)</f>
        <v>Chofer LT2E</v>
      </c>
      <c r="P319" s="17" t="str">
        <f>VLOOKUP(B:B,CECOs!G:I,3,FALSE)</f>
        <v>Choferes/Logística</v>
      </c>
      <c r="Q319" s="17" t="str">
        <f>IF(_xlfn.XLOOKUP(L319,CECOs!A:A,CECOs!C:C,"")="",K319,_xlfn.XLOOKUP(L319,CECOs!A:A,CECOs!C:C,""))</f>
        <v>MERCADO, MAURICIO / FREDES, RUBEN</v>
      </c>
      <c r="R319" s="17" t="s">
        <v>38</v>
      </c>
      <c r="S319" s="17" t="s">
        <v>45</v>
      </c>
      <c r="T319" s="17" t="s">
        <v>61</v>
      </c>
      <c r="U319" s="17" t="s">
        <v>217</v>
      </c>
      <c r="V319" s="17" t="s">
        <v>95</v>
      </c>
      <c r="W319" s="17"/>
      <c r="X319" s="17"/>
      <c r="Y319" s="17"/>
      <c r="Z319" s="17"/>
      <c r="AA319" s="17"/>
      <c r="AB319" s="17" t="s">
        <v>49</v>
      </c>
      <c r="AC319" s="17"/>
      <c r="AD319" s="17" t="s">
        <v>50</v>
      </c>
      <c r="AE319" s="17"/>
      <c r="AF319" s="17"/>
      <c r="AG319" s="17"/>
      <c r="AH319" s="17"/>
      <c r="AI319" s="17"/>
      <c r="AJ319" s="17"/>
      <c r="AK319" s="29"/>
    </row>
    <row r="320" spans="1:37" ht="9.9499999999999993">
      <c r="A320" s="29">
        <v>46266</v>
      </c>
      <c r="B320" s="22">
        <v>3392970</v>
      </c>
      <c r="C320" s="17" t="s">
        <v>274</v>
      </c>
      <c r="D320" s="17" t="s">
        <v>38</v>
      </c>
      <c r="E320" s="17" t="s">
        <v>38</v>
      </c>
      <c r="F320" s="17"/>
      <c r="G320" s="17" t="str">
        <f>Table1[[#This Row],[DESCRIPCION_POSICION]]</f>
        <v>Operador Especializado de Plantas</v>
      </c>
      <c r="H320" s="22" t="s">
        <v>851</v>
      </c>
      <c r="I320" s="17" t="s">
        <v>40</v>
      </c>
      <c r="J320" s="17" t="s">
        <v>68</v>
      </c>
      <c r="K320" s="17" t="s">
        <v>86</v>
      </c>
      <c r="L320" s="36" t="s">
        <v>609</v>
      </c>
      <c r="M320" s="103"/>
      <c r="N320" s="37" t="s">
        <v>852</v>
      </c>
      <c r="O320" s="36" t="str">
        <f>VLOOKUP(L320,CECOs!A:B,2,0)</f>
        <v>Tareas Generales Planta FP</v>
      </c>
      <c r="P320" s="17" t="str">
        <f>VLOOKUP(B:B,CECOs!G:I,3,FALSE)</f>
        <v>Serviciosgenerales</v>
      </c>
      <c r="Q320" s="17" t="str">
        <f>IF(_xlfn.XLOOKUP(L320,CECOs!A:A,CECOs!C:C,"")="",K320,_xlfn.XLOOKUP(L320,CECOs!A:A,CECOs!C:C,""))</f>
        <v>HUARTE, ESTEBAN</v>
      </c>
      <c r="R320" s="17" t="s">
        <v>38</v>
      </c>
      <c r="S320" s="17" t="s">
        <v>45</v>
      </c>
      <c r="T320" s="17"/>
      <c r="U320" s="17" t="s">
        <v>217</v>
      </c>
      <c r="V320" s="17" t="s">
        <v>95</v>
      </c>
      <c r="W320" s="17"/>
      <c r="X320" s="17"/>
      <c r="Y320" s="17"/>
      <c r="Z320" s="17"/>
      <c r="AA320" s="17"/>
      <c r="AB320" s="17" t="s">
        <v>49</v>
      </c>
      <c r="AC320" s="17"/>
      <c r="AD320" s="17" t="s">
        <v>50</v>
      </c>
      <c r="AE320" s="17"/>
      <c r="AF320" s="17"/>
      <c r="AG320" s="17"/>
      <c r="AH320" s="17"/>
      <c r="AI320" s="17"/>
      <c r="AJ320" s="17"/>
      <c r="AK320" s="29"/>
    </row>
    <row r="321" spans="1:37" ht="9.9499999999999993">
      <c r="A321" s="29">
        <v>46266</v>
      </c>
      <c r="B321" s="22">
        <v>3410843</v>
      </c>
      <c r="C321" s="17" t="s">
        <v>804</v>
      </c>
      <c r="D321" s="17" t="s">
        <v>38</v>
      </c>
      <c r="E321" s="17" t="s">
        <v>38</v>
      </c>
      <c r="F321" s="17"/>
      <c r="G321" s="17" t="str">
        <f>Table1[[#This Row],[DESCRIPCION_POSICION]]</f>
        <v>Oficial de Almacén</v>
      </c>
      <c r="H321" s="17" t="s">
        <v>853</v>
      </c>
      <c r="I321" s="17" t="s">
        <v>40</v>
      </c>
      <c r="J321" s="17" t="s">
        <v>68</v>
      </c>
      <c r="K321" s="17" t="s">
        <v>832</v>
      </c>
      <c r="L321" s="36" t="s">
        <v>854</v>
      </c>
      <c r="M321" s="103"/>
      <c r="N321" s="89" t="s">
        <v>855</v>
      </c>
      <c r="O321" s="36" t="str">
        <f>VLOOKUP(L321,CECOs!A:B,2,0)</f>
        <v>Aux. Almacén LT2E</v>
      </c>
      <c r="P321" s="17" t="str">
        <f>VLOOKUP(B:B,CECOs!G:I,3,FALSE)</f>
        <v>AlmacenNoconvencional</v>
      </c>
      <c r="Q321" s="17" t="str">
        <f>IF(_xlfn.XLOOKUP(L321,CECOs!A:A,CECOs!C:C,"")="",K321,_xlfn.XLOOKUP(L321,CECOs!A:A,CECOs!C:C,""))</f>
        <v>MERCADO, MAURICIO / FREDES, RUBEN</v>
      </c>
      <c r="R321" s="17" t="s">
        <v>38</v>
      </c>
      <c r="S321" s="17" t="s">
        <v>45</v>
      </c>
      <c r="T321" s="17"/>
      <c r="U321" s="17" t="s">
        <v>371</v>
      </c>
      <c r="V321" s="17" t="s">
        <v>95</v>
      </c>
      <c r="W321" s="17"/>
      <c r="X321" s="17"/>
      <c r="Y321" s="17"/>
      <c r="Z321" s="17"/>
      <c r="AA321" s="17"/>
      <c r="AB321" s="17" t="s">
        <v>49</v>
      </c>
      <c r="AC321" s="17"/>
      <c r="AD321" s="17" t="s">
        <v>50</v>
      </c>
      <c r="AE321" s="17"/>
      <c r="AF321" s="17"/>
      <c r="AG321" s="17"/>
      <c r="AH321" s="17"/>
      <c r="AI321" s="17"/>
      <c r="AJ321" s="17"/>
      <c r="AK321" s="29"/>
    </row>
    <row r="322" spans="1:37" ht="9.9499999999999993">
      <c r="A322" s="29">
        <v>46266</v>
      </c>
      <c r="B322" s="22">
        <v>3410842</v>
      </c>
      <c r="C322" s="17" t="s">
        <v>804</v>
      </c>
      <c r="D322" s="17" t="s">
        <v>38</v>
      </c>
      <c r="E322" s="17" t="s">
        <v>38</v>
      </c>
      <c r="F322" s="17"/>
      <c r="G322" s="17" t="str">
        <f>Table1[[#This Row],[DESCRIPCION_POSICION]]</f>
        <v>Oficial de Almacén</v>
      </c>
      <c r="H322" s="17" t="s">
        <v>856</v>
      </c>
      <c r="I322" s="17" t="s">
        <v>40</v>
      </c>
      <c r="J322" s="17" t="s">
        <v>68</v>
      </c>
      <c r="K322" s="17" t="s">
        <v>832</v>
      </c>
      <c r="L322" s="36" t="s">
        <v>854</v>
      </c>
      <c r="M322" s="103"/>
      <c r="N322" s="89" t="s">
        <v>857</v>
      </c>
      <c r="O322" s="36" t="str">
        <f>VLOOKUP(L322,CECOs!A:B,2,0)</f>
        <v>Aux. Almacén LT2E</v>
      </c>
      <c r="P322" s="17" t="str">
        <f>VLOOKUP(B:B,CECOs!G:I,3,FALSE)</f>
        <v>AlmacenNoconvencional</v>
      </c>
      <c r="Q322" s="17" t="str">
        <f>IF(_xlfn.XLOOKUP(L322,CECOs!A:A,CECOs!C:C,"")="",K322,_xlfn.XLOOKUP(L322,CECOs!A:A,CECOs!C:C,""))</f>
        <v>MERCADO, MAURICIO / FREDES, RUBEN</v>
      </c>
      <c r="R322" s="17" t="s">
        <v>38</v>
      </c>
      <c r="S322" s="17" t="s">
        <v>45</v>
      </c>
      <c r="T322" s="17"/>
      <c r="U322" s="17" t="s">
        <v>371</v>
      </c>
      <c r="V322" s="17" t="s">
        <v>95</v>
      </c>
      <c r="W322" s="17"/>
      <c r="X322" s="17"/>
      <c r="Y322" s="17"/>
      <c r="Z322" s="17"/>
      <c r="AA322" s="17"/>
      <c r="AB322" s="17" t="s">
        <v>49</v>
      </c>
      <c r="AC322" s="17"/>
      <c r="AD322" s="17" t="s">
        <v>50</v>
      </c>
      <c r="AE322" s="17"/>
      <c r="AF322" s="17"/>
      <c r="AG322" s="17"/>
      <c r="AH322" s="17"/>
      <c r="AI322" s="17"/>
      <c r="AJ322" s="17"/>
      <c r="AK322" s="29"/>
    </row>
    <row r="323" spans="1:37" ht="9.9499999999999993">
      <c r="A323" s="29">
        <v>46266</v>
      </c>
      <c r="B323" s="22">
        <v>3392965</v>
      </c>
      <c r="C323" s="17" t="s">
        <v>274</v>
      </c>
      <c r="D323" s="17" t="s">
        <v>38</v>
      </c>
      <c r="E323" s="17" t="s">
        <v>38</v>
      </c>
      <c r="F323" s="17"/>
      <c r="G323" s="17" t="str">
        <f>Table1[[#This Row],[DESCRIPCION_POSICION]]</f>
        <v>Operador Especializado de Plantas</v>
      </c>
      <c r="H323" s="22" t="s">
        <v>858</v>
      </c>
      <c r="I323" s="17" t="s">
        <v>40</v>
      </c>
      <c r="J323" s="17" t="s">
        <v>68</v>
      </c>
      <c r="K323" s="17" t="s">
        <v>86</v>
      </c>
      <c r="L323" s="36" t="s">
        <v>276</v>
      </c>
      <c r="M323" s="103"/>
      <c r="N323" s="37" t="s">
        <v>859</v>
      </c>
      <c r="O323" s="36" t="str">
        <f>VLOOKUP(L323,CECOs!A:B,2,0)</f>
        <v>Oper. Planta Compresión FP</v>
      </c>
      <c r="P323" s="17" t="str">
        <f>VLOOKUP(B:B,CECOs!G:I,3,FALSE)</f>
        <v>Relevooperación</v>
      </c>
      <c r="Q323" s="17" t="str">
        <f>IF(_xlfn.XLOOKUP(L323,CECOs!A:A,CECOs!C:C,"")="",K323,_xlfn.XLOOKUP(L323,CECOs!A:A,CECOs!C:C,""))</f>
        <v>HUARTE, ESTEBAN</v>
      </c>
      <c r="R323" s="17" t="s">
        <v>38</v>
      </c>
      <c r="S323" s="17" t="s">
        <v>45</v>
      </c>
      <c r="T323" s="17" t="s">
        <v>61</v>
      </c>
      <c r="U323" s="17" t="s">
        <v>217</v>
      </c>
      <c r="V323" s="17" t="s">
        <v>95</v>
      </c>
      <c r="W323" s="17"/>
      <c r="X323" s="17"/>
      <c r="Y323" s="17"/>
      <c r="Z323" s="17"/>
      <c r="AA323" s="17"/>
      <c r="AB323" s="17" t="s">
        <v>49</v>
      </c>
      <c r="AC323" s="17"/>
      <c r="AD323" s="17" t="s">
        <v>50</v>
      </c>
      <c r="AE323" s="17"/>
      <c r="AF323" s="17"/>
      <c r="AG323" s="17"/>
      <c r="AH323" s="17"/>
      <c r="AI323" s="17"/>
      <c r="AJ323" s="17"/>
      <c r="AK323" s="29"/>
    </row>
    <row r="324" spans="1:37" ht="9.9499999999999993">
      <c r="A324" s="29">
        <v>46266</v>
      </c>
      <c r="B324" s="22">
        <v>3392961</v>
      </c>
      <c r="C324" s="17" t="s">
        <v>274</v>
      </c>
      <c r="D324" s="17" t="s">
        <v>38</v>
      </c>
      <c r="E324" s="17" t="s">
        <v>38</v>
      </c>
      <c r="F324" s="17"/>
      <c r="G324" s="17" t="str">
        <f>Table1[[#This Row],[DESCRIPCION_POSICION]]</f>
        <v>Operador Especializado de Plantas</v>
      </c>
      <c r="H324" s="17" t="s">
        <v>860</v>
      </c>
      <c r="I324" s="17" t="s">
        <v>40</v>
      </c>
      <c r="J324" s="17" t="s">
        <v>68</v>
      </c>
      <c r="K324" s="17" t="s">
        <v>86</v>
      </c>
      <c r="L324" s="17" t="s">
        <v>276</v>
      </c>
      <c r="M324" s="103"/>
      <c r="N324" s="38" t="s">
        <v>861</v>
      </c>
      <c r="O324" s="36" t="str">
        <f>VLOOKUP(L324,CECOs!A:B,2,0)</f>
        <v>Oper. Planta Compresión FP</v>
      </c>
      <c r="P324" s="17" t="str">
        <f>VLOOKUP(B:B,CECOs!G:I,3,FALSE)</f>
        <v>OperadordeCompresiónPlanta</v>
      </c>
      <c r="Q324" s="17" t="str">
        <f>IF(_xlfn.XLOOKUP(L324,CECOs!A:A,CECOs!C:C,"")="",K324,_xlfn.XLOOKUP(L324,CECOs!A:A,CECOs!C:C,""))</f>
        <v>HUARTE, ESTEBAN</v>
      </c>
      <c r="R324" s="17" t="s">
        <v>38</v>
      </c>
      <c r="S324" s="17" t="s">
        <v>45</v>
      </c>
      <c r="T324" s="17" t="s">
        <v>61</v>
      </c>
      <c r="U324" s="17" t="s">
        <v>217</v>
      </c>
      <c r="V324" s="17" t="s">
        <v>95</v>
      </c>
      <c r="W324" s="17"/>
      <c r="X324" s="17"/>
      <c r="Y324" s="17"/>
      <c r="Z324" s="17"/>
      <c r="AA324" s="17"/>
      <c r="AB324" s="17" t="s">
        <v>49</v>
      </c>
      <c r="AC324" s="17"/>
      <c r="AD324" s="17" t="s">
        <v>50</v>
      </c>
      <c r="AE324" s="17"/>
      <c r="AF324" s="17"/>
      <c r="AG324" s="17"/>
      <c r="AH324" s="17"/>
      <c r="AI324" s="17"/>
      <c r="AJ324" s="17"/>
      <c r="AK324" s="29"/>
    </row>
    <row r="325" spans="1:37" ht="9.9499999999999993">
      <c r="A325" s="29">
        <v>46266</v>
      </c>
      <c r="B325" s="22">
        <v>3406969</v>
      </c>
      <c r="C325" s="17" t="s">
        <v>274</v>
      </c>
      <c r="D325" s="17" t="s">
        <v>38</v>
      </c>
      <c r="E325" s="17" t="s">
        <v>38</v>
      </c>
      <c r="F325" s="17"/>
      <c r="G325" s="17" t="str">
        <f>Table1[[#This Row],[DESCRIPCION_POSICION]]</f>
        <v>Operador Especializado de Plantas</v>
      </c>
      <c r="H325" s="22" t="s">
        <v>862</v>
      </c>
      <c r="I325" s="17" t="s">
        <v>40</v>
      </c>
      <c r="J325" s="17" t="s">
        <v>68</v>
      </c>
      <c r="K325" s="17" t="s">
        <v>86</v>
      </c>
      <c r="L325" s="36" t="s">
        <v>276</v>
      </c>
      <c r="M325" s="103"/>
      <c r="N325" s="37" t="s">
        <v>863</v>
      </c>
      <c r="O325" s="36" t="str">
        <f>VLOOKUP(L325,CECOs!A:B,2,0)</f>
        <v>Oper. Planta Compresión FP</v>
      </c>
      <c r="P325" s="17" t="str">
        <f>VLOOKUP(B:B,CECOs!G:I,3,FALSE)</f>
        <v>OperadordeCompresiónPlanta</v>
      </c>
      <c r="Q325" s="17" t="str">
        <f>IF(_xlfn.XLOOKUP(L325,CECOs!A:A,CECOs!C:C,"")="",K325,_xlfn.XLOOKUP(L325,CECOs!A:A,CECOs!C:C,""))</f>
        <v>HUARTE, ESTEBAN</v>
      </c>
      <c r="R325" s="17" t="s">
        <v>38</v>
      </c>
      <c r="S325" s="17" t="s">
        <v>45</v>
      </c>
      <c r="T325" s="17"/>
      <c r="U325" s="17" t="s">
        <v>217</v>
      </c>
      <c r="V325" s="17" t="s">
        <v>95</v>
      </c>
      <c r="W325" s="17"/>
      <c r="X325" s="17"/>
      <c r="Y325" s="17"/>
      <c r="Z325" s="17"/>
      <c r="AA325" s="17"/>
      <c r="AB325" s="17" t="s">
        <v>49</v>
      </c>
      <c r="AC325" s="17"/>
      <c r="AD325" s="17" t="s">
        <v>50</v>
      </c>
      <c r="AE325" s="17"/>
      <c r="AF325" s="17"/>
      <c r="AG325" s="17"/>
      <c r="AH325" s="17"/>
      <c r="AI325" s="17"/>
      <c r="AJ325" s="17"/>
      <c r="AK325" s="29"/>
    </row>
    <row r="326" spans="1:37" ht="9.9499999999999993">
      <c r="A326" s="29">
        <v>46266</v>
      </c>
      <c r="B326" s="22">
        <v>3392962</v>
      </c>
      <c r="C326" s="17" t="s">
        <v>274</v>
      </c>
      <c r="D326" s="17" t="s">
        <v>38</v>
      </c>
      <c r="E326" s="17" t="s">
        <v>38</v>
      </c>
      <c r="F326" s="17"/>
      <c r="G326" s="17" t="str">
        <f>Table1[[#This Row],[DESCRIPCION_POSICION]]</f>
        <v>Operador Especializado de Plantas</v>
      </c>
      <c r="H326" s="22" t="s">
        <v>864</v>
      </c>
      <c r="I326" s="17" t="s">
        <v>40</v>
      </c>
      <c r="J326" s="17" t="s">
        <v>68</v>
      </c>
      <c r="K326" s="17" t="s">
        <v>86</v>
      </c>
      <c r="L326" s="36" t="s">
        <v>276</v>
      </c>
      <c r="M326" s="103"/>
      <c r="N326" s="37" t="s">
        <v>865</v>
      </c>
      <c r="O326" s="36" t="str">
        <f>VLOOKUP(L326,CECOs!A:B,2,0)</f>
        <v>Oper. Planta Compresión FP</v>
      </c>
      <c r="P326" s="17" t="str">
        <f>VLOOKUP(B:B,CECOs!G:I,3,FALSE)</f>
        <v>OperadordeCompresiónPlanta</v>
      </c>
      <c r="Q326" s="17" t="str">
        <f>IF(_xlfn.XLOOKUP(L326,CECOs!A:A,CECOs!C:C,"")="",K326,_xlfn.XLOOKUP(L326,CECOs!A:A,CECOs!C:C,""))</f>
        <v>HUARTE, ESTEBAN</v>
      </c>
      <c r="R326" s="17" t="s">
        <v>38</v>
      </c>
      <c r="S326" s="17" t="s">
        <v>45</v>
      </c>
      <c r="T326" s="17" t="s">
        <v>61</v>
      </c>
      <c r="U326" s="17" t="s">
        <v>217</v>
      </c>
      <c r="V326" s="17" t="s">
        <v>95</v>
      </c>
      <c r="W326" s="17"/>
      <c r="X326" s="17"/>
      <c r="Y326" s="17"/>
      <c r="Z326" s="17"/>
      <c r="AA326" s="17"/>
      <c r="AB326" s="17" t="s">
        <v>49</v>
      </c>
      <c r="AC326" s="17"/>
      <c r="AD326" s="17" t="s">
        <v>50</v>
      </c>
      <c r="AE326" s="17"/>
      <c r="AF326" s="17"/>
      <c r="AG326" s="17"/>
      <c r="AH326" s="17"/>
      <c r="AI326" s="17"/>
      <c r="AJ326" s="17"/>
      <c r="AK326" s="29"/>
    </row>
    <row r="327" spans="1:37" ht="9.9499999999999993">
      <c r="A327" s="29">
        <v>46266</v>
      </c>
      <c r="B327" s="22">
        <v>3437879</v>
      </c>
      <c r="C327" s="17" t="s">
        <v>318</v>
      </c>
      <c r="D327" s="17" t="s">
        <v>38</v>
      </c>
      <c r="E327" s="17" t="s">
        <v>38</v>
      </c>
      <c r="F327" s="17"/>
      <c r="G327" s="17" t="str">
        <f>Table1[[#This Row],[DESCRIPCION_POSICION]]</f>
        <v>Well Services Supervisor</v>
      </c>
      <c r="H327" s="53" t="s">
        <v>866</v>
      </c>
      <c r="I327" s="17" t="s">
        <v>40</v>
      </c>
      <c r="J327" s="17" t="s">
        <v>68</v>
      </c>
      <c r="K327" s="17" t="s">
        <v>320</v>
      </c>
      <c r="L327" s="54" t="s">
        <v>79</v>
      </c>
      <c r="M327" s="103"/>
      <c r="N327" s="37" t="s">
        <v>867</v>
      </c>
      <c r="O327" s="36" t="str">
        <f>VLOOKUP(L327,CECOs!A:B,2,0)</f>
        <v>Supervisores Well Services</v>
      </c>
      <c r="P327" s="17" t="e">
        <f>VLOOKUP(B:B,CECOs!G:I,3,FALSE)</f>
        <v>#N/A</v>
      </c>
      <c r="Q327" s="17" t="str">
        <f>IF(_xlfn.XLOOKUP(L327,CECOs!A:A,CECOs!C:C,"")="",K327,_xlfn.XLOOKUP(L327,CECOs!A:A,CECOs!C:C,""))</f>
        <v>Buzaglo Sebastian</v>
      </c>
      <c r="R327" s="17" t="s">
        <v>38</v>
      </c>
      <c r="S327" s="17" t="s">
        <v>45</v>
      </c>
      <c r="T327" s="17"/>
      <c r="U327" s="17" t="s">
        <v>217</v>
      </c>
      <c r="V327" s="17" t="s">
        <v>48</v>
      </c>
      <c r="W327" s="17"/>
      <c r="X327" s="17"/>
      <c r="Y327" s="17"/>
      <c r="Z327" s="17"/>
      <c r="AA327" s="17"/>
      <c r="AB327" s="17" t="s">
        <v>49</v>
      </c>
      <c r="AC327" s="17"/>
      <c r="AD327" s="17" t="s">
        <v>50</v>
      </c>
      <c r="AE327" s="17"/>
      <c r="AF327" s="17"/>
      <c r="AG327" s="17"/>
      <c r="AH327" s="17"/>
      <c r="AI327" s="17"/>
      <c r="AJ327" s="17"/>
      <c r="AK327" s="29"/>
    </row>
    <row r="328" spans="1:37" ht="9.9499999999999993">
      <c r="A328" s="29">
        <v>46266</v>
      </c>
      <c r="B328" s="22">
        <v>3406971</v>
      </c>
      <c r="C328" s="17" t="s">
        <v>90</v>
      </c>
      <c r="D328" s="17" t="s">
        <v>38</v>
      </c>
      <c r="E328" s="17" t="s">
        <v>38</v>
      </c>
      <c r="F328" s="17"/>
      <c r="G328" s="17" t="str">
        <f>Table1[[#This Row],[DESCRIPCION_POSICION]]</f>
        <v>Oficial Especializado de Oficios</v>
      </c>
      <c r="H328" s="22" t="s">
        <v>868</v>
      </c>
      <c r="I328" s="17" t="s">
        <v>40</v>
      </c>
      <c r="J328" s="17" t="s">
        <v>68</v>
      </c>
      <c r="K328" s="17" t="s">
        <v>73</v>
      </c>
      <c r="L328" s="36" t="s">
        <v>745</v>
      </c>
      <c r="M328" s="103"/>
      <c r="N328" s="37" t="s">
        <v>869</v>
      </c>
      <c r="O328" s="36" t="str">
        <f>VLOOKUP(L328,CECOs!A:B,2,0)</f>
        <v>Compresión FP</v>
      </c>
      <c r="P328" s="17" t="str">
        <f>VLOOKUP(B:B,CECOs!G:I,3,FALSE)</f>
        <v>instrumentista</v>
      </c>
      <c r="Q328" s="17" t="str">
        <f>IF(_xlfn.XLOOKUP(L328,CECOs!A:A,CECOs!C:C,"")="",K328,_xlfn.XLOOKUP(L328,CECOs!A:A,CECOs!C:C,""))</f>
        <v>CORDOVA, DANIELA / ALTAMIRANDA, LEANDRO</v>
      </c>
      <c r="R328" s="17" t="s">
        <v>38</v>
      </c>
      <c r="S328" s="17" t="s">
        <v>45</v>
      </c>
      <c r="T328" s="17"/>
      <c r="U328" s="17" t="s">
        <v>94</v>
      </c>
      <c r="V328" s="17" t="s">
        <v>95</v>
      </c>
      <c r="W328" s="17"/>
      <c r="X328" s="17"/>
      <c r="Y328" s="17"/>
      <c r="Z328" s="17"/>
      <c r="AA328" s="17"/>
      <c r="AB328" s="17" t="s">
        <v>49</v>
      </c>
      <c r="AC328" s="17"/>
      <c r="AD328" s="17" t="s">
        <v>50</v>
      </c>
      <c r="AE328" s="17"/>
      <c r="AF328" s="17"/>
      <c r="AG328" s="17"/>
      <c r="AH328" s="17"/>
      <c r="AI328" s="17"/>
      <c r="AJ328" s="17"/>
      <c r="AK328" s="29"/>
    </row>
    <row r="329" spans="1:37" ht="9.9499999999999993">
      <c r="A329" s="29">
        <v>46266</v>
      </c>
      <c r="B329" s="22">
        <v>3406972</v>
      </c>
      <c r="C329" s="17" t="s">
        <v>90</v>
      </c>
      <c r="D329" s="17" t="s">
        <v>38</v>
      </c>
      <c r="E329" s="17" t="s">
        <v>38</v>
      </c>
      <c r="F329" s="17"/>
      <c r="G329" s="17" t="str">
        <f>Table1[[#This Row],[DESCRIPCION_POSICION]]</f>
        <v>Oficial Especializado de Oficios</v>
      </c>
      <c r="H329" s="17" t="s">
        <v>870</v>
      </c>
      <c r="I329" s="17" t="s">
        <v>40</v>
      </c>
      <c r="J329" s="17" t="s">
        <v>68</v>
      </c>
      <c r="K329" s="17" t="s">
        <v>73</v>
      </c>
      <c r="L329" s="36" t="s">
        <v>745</v>
      </c>
      <c r="M329" s="103"/>
      <c r="N329" s="37" t="s">
        <v>871</v>
      </c>
      <c r="O329" s="36" t="str">
        <f>VLOOKUP(L329,CECOs!A:B,2,0)</f>
        <v>Compresión FP</v>
      </c>
      <c r="P329" s="17" t="str">
        <f>VLOOKUP(B:B,CECOs!G:I,3,FALSE)</f>
        <v>MecánicosCompresión</v>
      </c>
      <c r="Q329" s="17" t="str">
        <f>IF(_xlfn.XLOOKUP(L329,CECOs!A:A,CECOs!C:C,"")="",K329,_xlfn.XLOOKUP(L329,CECOs!A:A,CECOs!C:C,""))</f>
        <v>CORDOVA, DANIELA / ALTAMIRANDA, LEANDRO</v>
      </c>
      <c r="R329" s="17" t="s">
        <v>38</v>
      </c>
      <c r="S329" s="17" t="s">
        <v>45</v>
      </c>
      <c r="T329" s="17"/>
      <c r="U329" s="17" t="s">
        <v>94</v>
      </c>
      <c r="V329" s="17" t="s">
        <v>95</v>
      </c>
      <c r="W329" s="17"/>
      <c r="X329" s="17"/>
      <c r="Y329" s="17"/>
      <c r="Z329" s="17"/>
      <c r="AA329" s="17"/>
      <c r="AB329" s="17" t="s">
        <v>49</v>
      </c>
      <c r="AC329" s="17"/>
      <c r="AD329" s="17" t="s">
        <v>50</v>
      </c>
      <c r="AE329" s="17"/>
      <c r="AF329" s="17"/>
      <c r="AG329" s="17"/>
      <c r="AH329" s="17"/>
      <c r="AI329" s="17"/>
      <c r="AJ329" s="17"/>
      <c r="AK329" s="29"/>
    </row>
    <row r="330" spans="1:37" ht="9.9499999999999993">
      <c r="A330" s="29">
        <v>46266</v>
      </c>
      <c r="B330" s="22">
        <v>3406973</v>
      </c>
      <c r="C330" s="17" t="s">
        <v>90</v>
      </c>
      <c r="D330" s="17" t="s">
        <v>38</v>
      </c>
      <c r="E330" s="17" t="s">
        <v>38</v>
      </c>
      <c r="F330" s="17"/>
      <c r="G330" s="17" t="str">
        <f>Table1[[#This Row],[DESCRIPCION_POSICION]]</f>
        <v>Oficial Especializado de Oficios</v>
      </c>
      <c r="H330" s="22" t="s">
        <v>872</v>
      </c>
      <c r="I330" s="17" t="s">
        <v>40</v>
      </c>
      <c r="J330" s="17" t="s">
        <v>68</v>
      </c>
      <c r="K330" s="17" t="s">
        <v>73</v>
      </c>
      <c r="L330" s="36" t="s">
        <v>745</v>
      </c>
      <c r="M330" s="103"/>
      <c r="N330" s="37" t="s">
        <v>873</v>
      </c>
      <c r="O330" s="36" t="str">
        <f>VLOOKUP(L330,CECOs!A:B,2,0)</f>
        <v>Compresión FP</v>
      </c>
      <c r="P330" s="17" t="str">
        <f>VLOOKUP(B:B,CECOs!G:I,3,FALSE)</f>
        <v>MecánicosCompresión</v>
      </c>
      <c r="Q330" s="17" t="str">
        <f>IF(_xlfn.XLOOKUP(L330,CECOs!A:A,CECOs!C:C,"")="",K330,_xlfn.XLOOKUP(L330,CECOs!A:A,CECOs!C:C,""))</f>
        <v>CORDOVA, DANIELA / ALTAMIRANDA, LEANDRO</v>
      </c>
      <c r="R330" s="17" t="s">
        <v>38</v>
      </c>
      <c r="S330" s="17" t="s">
        <v>45</v>
      </c>
      <c r="T330" s="17"/>
      <c r="U330" s="17" t="s">
        <v>94</v>
      </c>
      <c r="V330" s="17" t="s">
        <v>95</v>
      </c>
      <c r="W330" s="17"/>
      <c r="X330" s="17"/>
      <c r="Y330" s="17"/>
      <c r="Z330" s="17"/>
      <c r="AA330" s="17"/>
      <c r="AB330" s="17" t="s">
        <v>49</v>
      </c>
      <c r="AC330" s="17"/>
      <c r="AD330" s="17" t="s">
        <v>50</v>
      </c>
      <c r="AE330" s="17"/>
      <c r="AF330" s="17"/>
      <c r="AG330" s="17"/>
      <c r="AH330" s="17"/>
      <c r="AI330" s="17"/>
      <c r="AJ330" s="17"/>
      <c r="AK330" s="29"/>
    </row>
    <row r="331" spans="1:37" ht="9.9499999999999993">
      <c r="A331" s="29">
        <v>46266</v>
      </c>
      <c r="B331" s="22">
        <v>3406974</v>
      </c>
      <c r="C331" s="17" t="s">
        <v>402</v>
      </c>
      <c r="D331" s="17" t="s">
        <v>38</v>
      </c>
      <c r="E331" s="17" t="s">
        <v>38</v>
      </c>
      <c r="F331" s="17"/>
      <c r="G331" s="17" t="str">
        <f>Table1[[#This Row],[DESCRIPCION_POSICION]]</f>
        <v>Operador Principal de Cuadrilla</v>
      </c>
      <c r="H331" s="17" t="s">
        <v>874</v>
      </c>
      <c r="I331" s="17" t="s">
        <v>40</v>
      </c>
      <c r="J331" s="17" t="s">
        <v>68</v>
      </c>
      <c r="K331" s="17" t="s">
        <v>73</v>
      </c>
      <c r="L331" s="36" t="s">
        <v>745</v>
      </c>
      <c r="M331" s="103"/>
      <c r="N331" s="38" t="s">
        <v>875</v>
      </c>
      <c r="O331" s="36" t="str">
        <f>VLOOKUP(L331,CECOs!A:B,2,0)</f>
        <v>Compresión FP</v>
      </c>
      <c r="P331" s="17" t="str">
        <f>VLOOKUP(B:B,CECOs!G:I,3,FALSE)</f>
        <v>MecánicosCompresión</v>
      </c>
      <c r="Q331" s="17" t="str">
        <f>IF(_xlfn.XLOOKUP(L331,CECOs!A:A,CECOs!C:C,"")="",K331,_xlfn.XLOOKUP(L331,CECOs!A:A,CECOs!C:C,""))</f>
        <v>CORDOVA, DANIELA / ALTAMIRANDA, LEANDRO</v>
      </c>
      <c r="R331" s="17" t="s">
        <v>38</v>
      </c>
      <c r="S331" s="17" t="s">
        <v>45</v>
      </c>
      <c r="T331" s="17"/>
      <c r="U331" s="17" t="s">
        <v>94</v>
      </c>
      <c r="V331" s="17" t="s">
        <v>95</v>
      </c>
      <c r="W331" s="17"/>
      <c r="X331" s="17"/>
      <c r="Y331" s="17"/>
      <c r="Z331" s="17"/>
      <c r="AA331" s="17"/>
      <c r="AB331" s="17" t="s">
        <v>49</v>
      </c>
      <c r="AC331" s="17"/>
      <c r="AD331" s="17" t="s">
        <v>50</v>
      </c>
      <c r="AE331" s="17"/>
      <c r="AF331" s="17"/>
      <c r="AG331" s="17"/>
      <c r="AH331" s="17"/>
      <c r="AI331" s="17"/>
      <c r="AJ331" s="17"/>
      <c r="AK331" s="29"/>
    </row>
    <row r="332" spans="1:37" ht="9.9499999999999993">
      <c r="A332" s="29">
        <v>46266</v>
      </c>
      <c r="B332" s="22">
        <v>3414078</v>
      </c>
      <c r="C332" s="17" t="s">
        <v>876</v>
      </c>
      <c r="D332" s="17" t="s">
        <v>38</v>
      </c>
      <c r="E332" s="17" t="s">
        <v>38</v>
      </c>
      <c r="F332" s="17"/>
      <c r="G332" s="17" t="str">
        <f>Table1[[#This Row],[DESCRIPCION_POSICION]]</f>
        <v>Mtto TLM</v>
      </c>
      <c r="H332" s="22" t="s">
        <v>877</v>
      </c>
      <c r="I332" s="17" t="s">
        <v>40</v>
      </c>
      <c r="J332" s="17" t="s">
        <v>68</v>
      </c>
      <c r="K332" s="36" t="s">
        <v>300</v>
      </c>
      <c r="L332" s="36" t="s">
        <v>878</v>
      </c>
      <c r="M332" s="103"/>
      <c r="N332" s="35" t="s">
        <v>879</v>
      </c>
      <c r="O332" s="36" t="str">
        <f>VLOOKUP(L332,CECOs!A:B,2,0)</f>
        <v>Mantenimiento TLM</v>
      </c>
      <c r="P332" s="17" t="str">
        <f>VLOOKUP(B:B,CECOs!G:I,3,FALSE)</f>
        <v>OpMantenimiento</v>
      </c>
      <c r="Q332" s="17" t="str">
        <f>IF(_xlfn.XLOOKUP(L332,CECOs!A:A,CECOs!C:C,"")="",K332,_xlfn.XLOOKUP(L332,CECOs!A:A,CECOs!C:C,""))</f>
        <v>MACIAS, OSCAR  / SAFFE, JULIAN</v>
      </c>
      <c r="R332" s="17" t="s">
        <v>38</v>
      </c>
      <c r="S332" s="17" t="s">
        <v>45</v>
      </c>
      <c r="T332" s="17"/>
      <c r="U332" s="17" t="s">
        <v>880</v>
      </c>
      <c r="V332" s="17" t="s">
        <v>95</v>
      </c>
      <c r="W332" s="17"/>
      <c r="X332" s="17"/>
      <c r="Y332" s="17"/>
      <c r="Z332" s="17"/>
      <c r="AA332" s="17"/>
      <c r="AB332" s="17" t="s">
        <v>49</v>
      </c>
      <c r="AC332" s="17"/>
      <c r="AD332" s="17" t="s">
        <v>50</v>
      </c>
      <c r="AE332" s="17"/>
      <c r="AF332" s="17"/>
      <c r="AG332" s="17"/>
      <c r="AH332" s="17"/>
      <c r="AI332" s="17"/>
      <c r="AJ332" s="17"/>
      <c r="AK332" s="29"/>
    </row>
    <row r="333" spans="1:37" ht="9.9499999999999993">
      <c r="A333" s="29">
        <v>46266</v>
      </c>
      <c r="B333" s="22">
        <v>3414079</v>
      </c>
      <c r="C333" s="17" t="s">
        <v>876</v>
      </c>
      <c r="D333" s="17" t="s">
        <v>38</v>
      </c>
      <c r="E333" s="17" t="s">
        <v>38</v>
      </c>
      <c r="F333" s="17"/>
      <c r="G333" s="17" t="str">
        <f>Table1[[#This Row],[DESCRIPCION_POSICION]]</f>
        <v>Mtto TLM</v>
      </c>
      <c r="H333" s="17" t="s">
        <v>881</v>
      </c>
      <c r="I333" s="17" t="s">
        <v>40</v>
      </c>
      <c r="J333" s="17" t="s">
        <v>68</v>
      </c>
      <c r="K333" s="36" t="s">
        <v>300</v>
      </c>
      <c r="L333" s="36" t="s">
        <v>878</v>
      </c>
      <c r="M333" s="103"/>
      <c r="N333" s="35" t="s">
        <v>882</v>
      </c>
      <c r="O333" s="36" t="str">
        <f>VLOOKUP(L333,CECOs!A:B,2,0)</f>
        <v>Mantenimiento TLM</v>
      </c>
      <c r="P333" s="17" t="str">
        <f>VLOOKUP(B:B,CECOs!G:I,3,FALSE)</f>
        <v>OpMantenimiento</v>
      </c>
      <c r="Q333" s="17" t="str">
        <f>IF(_xlfn.XLOOKUP(L333,CECOs!A:A,CECOs!C:C,"")="",K333,_xlfn.XLOOKUP(L333,CECOs!A:A,CECOs!C:C,""))</f>
        <v>MACIAS, OSCAR  / SAFFE, JULIAN</v>
      </c>
      <c r="R333" s="17" t="s">
        <v>38</v>
      </c>
      <c r="S333" s="17" t="s">
        <v>45</v>
      </c>
      <c r="T333" s="17"/>
      <c r="U333" s="17" t="s">
        <v>880</v>
      </c>
      <c r="V333" s="17" t="s">
        <v>95</v>
      </c>
      <c r="W333" s="17"/>
      <c r="X333" s="17"/>
      <c r="Y333" s="17"/>
      <c r="Z333" s="17"/>
      <c r="AA333" s="17"/>
      <c r="AB333" s="17" t="s">
        <v>49</v>
      </c>
      <c r="AC333" s="17"/>
      <c r="AD333" s="17" t="s">
        <v>50</v>
      </c>
      <c r="AE333" s="17"/>
      <c r="AF333" s="17"/>
      <c r="AG333" s="17"/>
      <c r="AH333" s="17"/>
      <c r="AI333" s="17"/>
      <c r="AJ333" s="17"/>
      <c r="AK333" s="29"/>
    </row>
    <row r="334" spans="1:37" ht="9.9499999999999993">
      <c r="A334" s="29">
        <v>46266</v>
      </c>
      <c r="B334" s="22">
        <v>3414080</v>
      </c>
      <c r="C334" s="17" t="s">
        <v>876</v>
      </c>
      <c r="D334" s="17" t="s">
        <v>38</v>
      </c>
      <c r="E334" s="17" t="s">
        <v>38</v>
      </c>
      <c r="F334" s="17"/>
      <c r="G334" s="17" t="str">
        <f>Table1[[#This Row],[DESCRIPCION_POSICION]]</f>
        <v>Mtto TLM</v>
      </c>
      <c r="H334" s="40" t="s">
        <v>883</v>
      </c>
      <c r="I334" s="17" t="s">
        <v>40</v>
      </c>
      <c r="J334" s="17" t="s">
        <v>68</v>
      </c>
      <c r="K334" s="36" t="s">
        <v>300</v>
      </c>
      <c r="L334" s="36" t="s">
        <v>878</v>
      </c>
      <c r="M334" s="103"/>
      <c r="N334" s="35" t="s">
        <v>884</v>
      </c>
      <c r="O334" s="36" t="str">
        <f>VLOOKUP(L334,CECOs!A:B,2,0)</f>
        <v>Mantenimiento TLM</v>
      </c>
      <c r="P334" s="17" t="str">
        <f>VLOOKUP(B:B,CECOs!G:I,3,FALSE)</f>
        <v>OpMantenimiento</v>
      </c>
      <c r="Q334" s="17" t="str">
        <f>IF(_xlfn.XLOOKUP(L334,CECOs!A:A,CECOs!C:C,"")="",K334,_xlfn.XLOOKUP(L334,CECOs!A:A,CECOs!C:C,""))</f>
        <v>MACIAS, OSCAR  / SAFFE, JULIAN</v>
      </c>
      <c r="R334" s="17" t="s">
        <v>38</v>
      </c>
      <c r="S334" s="17" t="s">
        <v>45</v>
      </c>
      <c r="T334" s="17"/>
      <c r="U334" s="17" t="s">
        <v>880</v>
      </c>
      <c r="V334" s="17" t="s">
        <v>95</v>
      </c>
      <c r="W334" s="17"/>
      <c r="X334" s="17"/>
      <c r="Y334" s="17"/>
      <c r="Z334" s="17"/>
      <c r="AA334" s="17"/>
      <c r="AB334" s="17" t="s">
        <v>49</v>
      </c>
      <c r="AC334" s="17"/>
      <c r="AD334" s="17" t="s">
        <v>50</v>
      </c>
      <c r="AE334" s="17"/>
      <c r="AF334" s="17"/>
      <c r="AG334" s="17"/>
      <c r="AH334" s="17"/>
      <c r="AI334" s="17"/>
      <c r="AJ334" s="17"/>
      <c r="AK334" s="29"/>
    </row>
    <row r="335" spans="1:37" ht="9.9499999999999993">
      <c r="A335" s="29">
        <v>46266</v>
      </c>
      <c r="B335" s="22">
        <v>3414082</v>
      </c>
      <c r="C335" s="17" t="s">
        <v>885</v>
      </c>
      <c r="D335" s="17" t="s">
        <v>38</v>
      </c>
      <c r="E335" s="17" t="s">
        <v>38</v>
      </c>
      <c r="F335" s="17"/>
      <c r="G335" s="17" t="str">
        <f>Table1[[#This Row],[DESCRIPCION_POSICION]]</f>
        <v>Mec Flota TLM</v>
      </c>
      <c r="H335" s="17" t="s">
        <v>886</v>
      </c>
      <c r="I335" s="17" t="s">
        <v>40</v>
      </c>
      <c r="J335" s="17" t="s">
        <v>68</v>
      </c>
      <c r="K335" s="17" t="s">
        <v>624</v>
      </c>
      <c r="L335" s="36" t="s">
        <v>625</v>
      </c>
      <c r="M335" s="103"/>
      <c r="N335" s="35" t="s">
        <v>887</v>
      </c>
      <c r="O335" s="36" t="str">
        <f>VLOOKUP(L335,CECOs!A:B,2,0)</f>
        <v>Mecánicos de flota TLM</v>
      </c>
      <c r="P335" s="17" t="str">
        <f>VLOOKUP(B:B,CECOs!G:I,3,FALSE)</f>
        <v>Mecánicos,engraseyflota</v>
      </c>
      <c r="Q335" s="17" t="str">
        <f>IF(_xlfn.XLOOKUP(L335,CECOs!A:A,CECOs!C:C,"")="",K335,_xlfn.XLOOKUP(L335,CECOs!A:A,CECOs!C:C,""))</f>
        <v>CASAL, GUSTAVO</v>
      </c>
      <c r="R335" s="17" t="s">
        <v>38</v>
      </c>
      <c r="S335" s="17" t="s">
        <v>45</v>
      </c>
      <c r="T335" s="17"/>
      <c r="U335" s="17" t="s">
        <v>627</v>
      </c>
      <c r="V335" s="17" t="s">
        <v>95</v>
      </c>
      <c r="W335" s="17"/>
      <c r="X335" s="17"/>
      <c r="Y335" s="17"/>
      <c r="Z335" s="17"/>
      <c r="AA335" s="17"/>
      <c r="AB335" s="17" t="s">
        <v>49</v>
      </c>
      <c r="AC335" s="17"/>
      <c r="AD335" s="17" t="s">
        <v>50</v>
      </c>
      <c r="AE335" s="17"/>
      <c r="AF335" s="17"/>
      <c r="AG335" s="17"/>
      <c r="AH335" s="17"/>
      <c r="AI335" s="17"/>
      <c r="AJ335" s="17"/>
      <c r="AK335" s="29"/>
    </row>
    <row r="336" spans="1:37" ht="9.9499999999999993">
      <c r="A336" s="29">
        <v>46266</v>
      </c>
      <c r="B336" s="22">
        <v>3414081</v>
      </c>
      <c r="C336" s="17" t="s">
        <v>885</v>
      </c>
      <c r="D336" s="17" t="s">
        <v>38</v>
      </c>
      <c r="E336" s="17" t="s">
        <v>38</v>
      </c>
      <c r="F336" s="17"/>
      <c r="G336" s="17" t="str">
        <f>Table1[[#This Row],[DESCRIPCION_POSICION]]</f>
        <v>Mec Flota TLM</v>
      </c>
      <c r="H336" s="22" t="s">
        <v>888</v>
      </c>
      <c r="I336" s="17" t="s">
        <v>40</v>
      </c>
      <c r="J336" s="17" t="s">
        <v>68</v>
      </c>
      <c r="K336" s="17" t="s">
        <v>624</v>
      </c>
      <c r="L336" s="36" t="s">
        <v>625</v>
      </c>
      <c r="M336" s="103"/>
      <c r="N336" s="35" t="s">
        <v>889</v>
      </c>
      <c r="O336" s="36" t="str">
        <f>VLOOKUP(L336,CECOs!A:B,2,0)</f>
        <v>Mecánicos de flota TLM</v>
      </c>
      <c r="P336" s="17" t="str">
        <f>VLOOKUP(B:B,CECOs!G:I,3,FALSE)</f>
        <v>Mecánicos,engraseyflota</v>
      </c>
      <c r="Q336" s="17" t="str">
        <f>IF(_xlfn.XLOOKUP(L336,CECOs!A:A,CECOs!C:C,"")="",K336,_xlfn.XLOOKUP(L336,CECOs!A:A,CECOs!C:C,""))</f>
        <v>CASAL, GUSTAVO</v>
      </c>
      <c r="R336" s="17" t="s">
        <v>38</v>
      </c>
      <c r="S336" s="17" t="s">
        <v>45</v>
      </c>
      <c r="T336" s="17"/>
      <c r="U336" s="17" t="s">
        <v>627</v>
      </c>
      <c r="V336" s="17" t="s">
        <v>95</v>
      </c>
      <c r="W336" s="17"/>
      <c r="X336" s="17"/>
      <c r="Y336" s="17"/>
      <c r="Z336" s="17"/>
      <c r="AA336" s="17"/>
      <c r="AB336" s="17" t="s">
        <v>49</v>
      </c>
      <c r="AC336" s="17"/>
      <c r="AD336" s="17" t="s">
        <v>50</v>
      </c>
      <c r="AE336" s="17"/>
      <c r="AF336" s="17"/>
      <c r="AG336" s="17"/>
      <c r="AH336" s="17"/>
      <c r="AI336" s="17"/>
      <c r="AJ336" s="17"/>
      <c r="AK336" s="29"/>
    </row>
    <row r="337" spans="1:37" ht="9.9499999999999993">
      <c r="A337" s="29">
        <v>46266</v>
      </c>
      <c r="B337" s="22">
        <v>3414084</v>
      </c>
      <c r="C337" s="17" t="s">
        <v>890</v>
      </c>
      <c r="D337" s="17" t="s">
        <v>38</v>
      </c>
      <c r="E337" s="17" t="s">
        <v>38</v>
      </c>
      <c r="F337" s="17"/>
      <c r="G337" s="17" t="str">
        <f>Table1[[#This Row],[DESCRIPCION_POSICION]]</f>
        <v>4to hombre</v>
      </c>
      <c r="H337" s="78" t="s">
        <v>891</v>
      </c>
      <c r="I337" s="17" t="s">
        <v>40</v>
      </c>
      <c r="J337" s="17" t="s">
        <v>68</v>
      </c>
      <c r="K337" s="36" t="s">
        <v>300</v>
      </c>
      <c r="L337" s="36" t="s">
        <v>892</v>
      </c>
      <c r="M337" s="103"/>
      <c r="N337" s="37" t="s">
        <v>893</v>
      </c>
      <c r="O337" s="36" t="str">
        <f>VLOOKUP(L337,CECOs!A:B,2,0)</f>
        <v>Operadores TLM</v>
      </c>
      <c r="P337" s="17" t="str">
        <f>VLOOKUP(B:B,CECOs!G:I,3,FALSE)</f>
        <v>CuartoHombre</v>
      </c>
      <c r="Q337" s="17" t="str">
        <f>IF(_xlfn.XLOOKUP(L337,CECOs!A:A,CECOs!C:C,"")="",K337,_xlfn.XLOOKUP(L337,CECOs!A:A,CECOs!C:C,""))</f>
        <v>MACIAS, OSCAR  / SAFFE, JULIAN</v>
      </c>
      <c r="R337" s="17" t="s">
        <v>38</v>
      </c>
      <c r="S337" s="17" t="s">
        <v>45</v>
      </c>
      <c r="T337" s="17"/>
      <c r="U337" s="17" t="s">
        <v>894</v>
      </c>
      <c r="V337" s="17" t="s">
        <v>95</v>
      </c>
      <c r="W337" s="17"/>
      <c r="X337" s="17"/>
      <c r="Y337" s="17"/>
      <c r="Z337" s="17"/>
      <c r="AA337" s="17"/>
      <c r="AB337" s="17" t="s">
        <v>49</v>
      </c>
      <c r="AC337" s="17"/>
      <c r="AD337" s="17" t="s">
        <v>50</v>
      </c>
      <c r="AE337" s="17"/>
      <c r="AF337" s="17"/>
      <c r="AG337" s="17"/>
      <c r="AH337" s="17"/>
      <c r="AI337" s="17"/>
      <c r="AJ337" s="17"/>
      <c r="AK337" s="29"/>
    </row>
    <row r="338" spans="1:37" ht="9.9499999999999993">
      <c r="A338" s="29">
        <v>46266</v>
      </c>
      <c r="B338" s="22">
        <v>3414083</v>
      </c>
      <c r="C338" s="17" t="s">
        <v>890</v>
      </c>
      <c r="D338" s="17" t="s">
        <v>38</v>
      </c>
      <c r="E338" s="17" t="s">
        <v>38</v>
      </c>
      <c r="F338" s="17"/>
      <c r="G338" s="17" t="str">
        <f>Table1[[#This Row],[DESCRIPCION_POSICION]]</f>
        <v>4to hombre</v>
      </c>
      <c r="H338" s="22" t="s">
        <v>895</v>
      </c>
      <c r="I338" s="17" t="s">
        <v>40</v>
      </c>
      <c r="J338" s="17" t="s">
        <v>68</v>
      </c>
      <c r="K338" s="36" t="s">
        <v>300</v>
      </c>
      <c r="L338" s="36" t="s">
        <v>892</v>
      </c>
      <c r="M338" s="103"/>
      <c r="N338" s="37" t="s">
        <v>896</v>
      </c>
      <c r="O338" s="36" t="str">
        <f>VLOOKUP(L338,CECOs!A:B,2,0)</f>
        <v>Operadores TLM</v>
      </c>
      <c r="P338" s="17" t="str">
        <f>VLOOKUP(B:B,CECOs!G:I,3,FALSE)</f>
        <v>CuartoHombre</v>
      </c>
      <c r="Q338" s="17" t="str">
        <f>IF(_xlfn.XLOOKUP(L338,CECOs!A:A,CECOs!C:C,"")="",K338,_xlfn.XLOOKUP(L338,CECOs!A:A,CECOs!C:C,""))</f>
        <v>MACIAS, OSCAR  / SAFFE, JULIAN</v>
      </c>
      <c r="R338" s="17" t="s">
        <v>38</v>
      </c>
      <c r="S338" s="17" t="s">
        <v>45</v>
      </c>
      <c r="T338" s="17"/>
      <c r="U338" s="17" t="s">
        <v>894</v>
      </c>
      <c r="V338" s="17" t="s">
        <v>95</v>
      </c>
      <c r="W338" s="17"/>
      <c r="X338" s="17"/>
      <c r="Y338" s="17"/>
      <c r="Z338" s="17"/>
      <c r="AA338" s="17"/>
      <c r="AB338" s="17" t="s">
        <v>49</v>
      </c>
      <c r="AC338" s="17"/>
      <c r="AD338" s="17" t="s">
        <v>50</v>
      </c>
      <c r="AE338" s="17"/>
      <c r="AF338" s="17"/>
      <c r="AG338" s="17"/>
      <c r="AH338" s="17"/>
      <c r="AI338" s="17"/>
      <c r="AJ338" s="17"/>
      <c r="AK338" s="29"/>
    </row>
    <row r="339" spans="1:37" ht="9.9499999999999993">
      <c r="A339" s="29">
        <v>46266</v>
      </c>
      <c r="B339" s="22">
        <v>3414085</v>
      </c>
      <c r="C339" s="17" t="s">
        <v>890</v>
      </c>
      <c r="D339" s="17" t="s">
        <v>38</v>
      </c>
      <c r="E339" s="17" t="s">
        <v>38</v>
      </c>
      <c r="F339" s="17"/>
      <c r="G339" s="17" t="str">
        <f>Table1[[#This Row],[DESCRIPCION_POSICION]]</f>
        <v>4to hombre</v>
      </c>
      <c r="H339" s="17" t="s">
        <v>897</v>
      </c>
      <c r="I339" s="17" t="s">
        <v>40</v>
      </c>
      <c r="J339" s="17" t="s">
        <v>68</v>
      </c>
      <c r="K339" s="36" t="s">
        <v>300</v>
      </c>
      <c r="L339" s="36" t="s">
        <v>892</v>
      </c>
      <c r="M339" s="103"/>
      <c r="N339" s="38" t="s">
        <v>898</v>
      </c>
      <c r="O339" s="36" t="str">
        <f>VLOOKUP(L339,CECOs!A:B,2,0)</f>
        <v>Operadores TLM</v>
      </c>
      <c r="P339" s="17" t="str">
        <f>VLOOKUP(B:B,CECOs!G:I,3,FALSE)</f>
        <v>CuartoHombre</v>
      </c>
      <c r="Q339" s="17" t="str">
        <f>IF(_xlfn.XLOOKUP(L339,CECOs!A:A,CECOs!C:C,"")="",K339,_xlfn.XLOOKUP(L339,CECOs!A:A,CECOs!C:C,""))</f>
        <v>MACIAS, OSCAR  / SAFFE, JULIAN</v>
      </c>
      <c r="R339" s="17" t="s">
        <v>38</v>
      </c>
      <c r="S339" s="17" t="s">
        <v>45</v>
      </c>
      <c r="T339" s="17"/>
      <c r="U339" s="17" t="s">
        <v>894</v>
      </c>
      <c r="V339" s="17" t="s">
        <v>95</v>
      </c>
      <c r="W339" s="17"/>
      <c r="X339" s="17"/>
      <c r="Y339" s="17"/>
      <c r="Z339" s="17"/>
      <c r="AA339" s="17"/>
      <c r="AB339" s="17" t="s">
        <v>49</v>
      </c>
      <c r="AC339" s="17"/>
      <c r="AD339" s="17" t="s">
        <v>50</v>
      </c>
      <c r="AE339" s="17"/>
      <c r="AF339" s="17"/>
      <c r="AG339" s="17"/>
      <c r="AH339" s="17"/>
      <c r="AI339" s="17"/>
      <c r="AJ339" s="17"/>
      <c r="AK339" s="29"/>
    </row>
    <row r="340" spans="1:37" ht="9.9499999999999993">
      <c r="A340" s="29">
        <v>46266</v>
      </c>
      <c r="B340" s="22">
        <v>3414087</v>
      </c>
      <c r="C340" s="17" t="s">
        <v>899</v>
      </c>
      <c r="D340" s="17" t="s">
        <v>38</v>
      </c>
      <c r="E340" s="17" t="s">
        <v>38</v>
      </c>
      <c r="F340" s="17"/>
      <c r="G340" s="17" t="str">
        <f>Table1[[#This Row],[DESCRIPCION_POSICION]]</f>
        <v>Coord Camiones</v>
      </c>
      <c r="H340" s="22" t="s">
        <v>900</v>
      </c>
      <c r="I340" s="17" t="s">
        <v>40</v>
      </c>
      <c r="J340" s="17" t="s">
        <v>68</v>
      </c>
      <c r="K340" s="36" t="s">
        <v>300</v>
      </c>
      <c r="L340" s="36" t="s">
        <v>892</v>
      </c>
      <c r="M340" s="103"/>
      <c r="N340" s="37" t="s">
        <v>901</v>
      </c>
      <c r="O340" s="36" t="str">
        <f>VLOOKUP(L340,CECOs!A:B,2,0)</f>
        <v>Operadores TLM</v>
      </c>
      <c r="P340" s="17" t="str">
        <f>VLOOKUP(B:B,CECOs!G:I,3,FALSE)</f>
        <v>CuartoHombre</v>
      </c>
      <c r="Q340" s="17" t="str">
        <f>IF(_xlfn.XLOOKUP(L340,CECOs!A:A,CECOs!C:C,"")="",K340,_xlfn.XLOOKUP(L340,CECOs!A:A,CECOs!C:C,""))</f>
        <v>MACIAS, OSCAR  / SAFFE, JULIAN</v>
      </c>
      <c r="R340" s="17" t="s">
        <v>38</v>
      </c>
      <c r="S340" s="17" t="s">
        <v>45</v>
      </c>
      <c r="T340" s="17"/>
      <c r="U340" s="17" t="s">
        <v>894</v>
      </c>
      <c r="V340" s="17" t="s">
        <v>95</v>
      </c>
      <c r="W340" s="17"/>
      <c r="X340" s="17"/>
      <c r="Y340" s="17"/>
      <c r="Z340" s="17"/>
      <c r="AA340" s="17"/>
      <c r="AB340" s="17" t="s">
        <v>49</v>
      </c>
      <c r="AC340" s="17"/>
      <c r="AD340" s="17" t="s">
        <v>50</v>
      </c>
      <c r="AE340" s="17"/>
      <c r="AF340" s="17"/>
      <c r="AG340" s="17"/>
      <c r="AH340" s="17"/>
      <c r="AI340" s="17"/>
      <c r="AJ340" s="17"/>
      <c r="AK340" s="29"/>
    </row>
    <row r="341" spans="1:37" ht="9.9499999999999993">
      <c r="A341" s="29">
        <v>46266</v>
      </c>
      <c r="B341" s="22">
        <v>3414086</v>
      </c>
      <c r="C341" s="17" t="s">
        <v>899</v>
      </c>
      <c r="D341" s="17" t="s">
        <v>38</v>
      </c>
      <c r="E341" s="17" t="s">
        <v>38</v>
      </c>
      <c r="F341" s="17"/>
      <c r="G341" s="17" t="str">
        <f>Table1[[#This Row],[DESCRIPCION_POSICION]]</f>
        <v>Coord Camiones</v>
      </c>
      <c r="H341" s="22" t="s">
        <v>902</v>
      </c>
      <c r="I341" s="17" t="s">
        <v>40</v>
      </c>
      <c r="J341" s="17" t="s">
        <v>68</v>
      </c>
      <c r="K341" s="36" t="s">
        <v>300</v>
      </c>
      <c r="L341" s="36" t="s">
        <v>892</v>
      </c>
      <c r="M341" s="103"/>
      <c r="N341" s="37" t="s">
        <v>903</v>
      </c>
      <c r="O341" s="36" t="str">
        <f>VLOOKUP(L341,CECOs!A:B,2,0)</f>
        <v>Operadores TLM</v>
      </c>
      <c r="P341" s="17" t="str">
        <f>VLOOKUP(B:B,CECOs!G:I,3,FALSE)</f>
        <v>OperadordeCradle</v>
      </c>
      <c r="Q341" s="17" t="str">
        <f>IF(_xlfn.XLOOKUP(L341,CECOs!A:A,CECOs!C:C,"")="",K341,_xlfn.XLOOKUP(L341,CECOs!A:A,CECOs!C:C,""))</f>
        <v>MACIAS, OSCAR  / SAFFE, JULIAN</v>
      </c>
      <c r="R341" s="17" t="s">
        <v>38</v>
      </c>
      <c r="S341" s="17" t="s">
        <v>45</v>
      </c>
      <c r="T341" s="17"/>
      <c r="U341" s="17" t="s">
        <v>894</v>
      </c>
      <c r="V341" s="17" t="s">
        <v>95</v>
      </c>
      <c r="W341" s="17"/>
      <c r="X341" s="17"/>
      <c r="Y341" s="17"/>
      <c r="Z341" s="17"/>
      <c r="AA341" s="17"/>
      <c r="AB341" s="17" t="s">
        <v>49</v>
      </c>
      <c r="AC341" s="17"/>
      <c r="AD341" s="17" t="s">
        <v>50</v>
      </c>
      <c r="AE341" s="17"/>
      <c r="AF341" s="17"/>
      <c r="AG341" s="17"/>
      <c r="AH341" s="17"/>
      <c r="AI341" s="17"/>
      <c r="AJ341" s="17"/>
      <c r="AK341" s="29"/>
    </row>
    <row r="342" spans="1:37" ht="9.9499999999999993">
      <c r="A342" s="29">
        <v>46266</v>
      </c>
      <c r="B342" s="22">
        <v>3414088</v>
      </c>
      <c r="C342" s="17" t="s">
        <v>899</v>
      </c>
      <c r="D342" s="17" t="s">
        <v>38</v>
      </c>
      <c r="E342" s="17" t="s">
        <v>38</v>
      </c>
      <c r="F342" s="17"/>
      <c r="G342" s="17" t="str">
        <f>Table1[[#This Row],[DESCRIPCION_POSICION]]</f>
        <v>Coord Camiones</v>
      </c>
      <c r="H342" s="17" t="s">
        <v>904</v>
      </c>
      <c r="I342" s="17" t="s">
        <v>40</v>
      </c>
      <c r="J342" s="17" t="s">
        <v>68</v>
      </c>
      <c r="K342" s="36" t="s">
        <v>300</v>
      </c>
      <c r="L342" s="36" t="s">
        <v>892</v>
      </c>
      <c r="M342" s="103"/>
      <c r="N342" s="38" t="s">
        <v>905</v>
      </c>
      <c r="O342" s="36" t="str">
        <f>VLOOKUP(L342,CECOs!A:B,2,0)</f>
        <v>Operadores TLM</v>
      </c>
      <c r="P342" s="17" t="str">
        <f>VLOOKUP(B:B,CECOs!G:I,3,FALSE)</f>
        <v>CuartoHombre</v>
      </c>
      <c r="Q342" s="17" t="str">
        <f>IF(_xlfn.XLOOKUP(L342,CECOs!A:A,CECOs!C:C,"")="",K342,_xlfn.XLOOKUP(L342,CECOs!A:A,CECOs!C:C,""))</f>
        <v>MACIAS, OSCAR  / SAFFE, JULIAN</v>
      </c>
      <c r="R342" s="17" t="s">
        <v>38</v>
      </c>
      <c r="S342" s="17" t="s">
        <v>45</v>
      </c>
      <c r="T342" s="17"/>
      <c r="U342" s="17" t="s">
        <v>894</v>
      </c>
      <c r="V342" s="17" t="s">
        <v>95</v>
      </c>
      <c r="W342" s="17"/>
      <c r="X342" s="17"/>
      <c r="Y342" s="17"/>
      <c r="Z342" s="17"/>
      <c r="AA342" s="17"/>
      <c r="AB342" s="17" t="s">
        <v>49</v>
      </c>
      <c r="AC342" s="17"/>
      <c r="AD342" s="17" t="s">
        <v>50</v>
      </c>
      <c r="AE342" s="17"/>
      <c r="AF342" s="17"/>
      <c r="AG342" s="17"/>
      <c r="AH342" s="17"/>
      <c r="AI342" s="17"/>
      <c r="AJ342" s="17"/>
      <c r="AK342" s="29"/>
    </row>
    <row r="343" spans="1:37" ht="9.9499999999999993">
      <c r="A343" s="29">
        <v>46266</v>
      </c>
      <c r="B343" s="22">
        <v>3414090</v>
      </c>
      <c r="C343" s="17" t="s">
        <v>906</v>
      </c>
      <c r="D343" s="17" t="s">
        <v>38</v>
      </c>
      <c r="E343" s="17" t="s">
        <v>38</v>
      </c>
      <c r="F343" s="17"/>
      <c r="G343" s="17" t="str">
        <f>Table1[[#This Row],[DESCRIPCION_POSICION]]</f>
        <v>Op. Autoelevador</v>
      </c>
      <c r="H343" s="17" t="s">
        <v>907</v>
      </c>
      <c r="I343" s="17" t="s">
        <v>40</v>
      </c>
      <c r="J343" s="17" t="s">
        <v>68</v>
      </c>
      <c r="K343" s="36" t="s">
        <v>300</v>
      </c>
      <c r="L343" s="36" t="s">
        <v>892</v>
      </c>
      <c r="M343" s="103"/>
      <c r="N343" s="38" t="s">
        <v>908</v>
      </c>
      <c r="O343" s="36" t="str">
        <f>VLOOKUP(L343,CECOs!A:B,2,0)</f>
        <v>Operadores TLM</v>
      </c>
      <c r="P343" s="17" t="str">
        <f>VLOOKUP(B:B,CECOs!G:I,3,FALSE)</f>
        <v>Operadordeautoelevador</v>
      </c>
      <c r="Q343" s="17" t="str">
        <f>IF(_xlfn.XLOOKUP(L343,CECOs!A:A,CECOs!C:C,"")="",K343,_xlfn.XLOOKUP(L343,CECOs!A:A,CECOs!C:C,""))</f>
        <v>MACIAS, OSCAR  / SAFFE, JULIAN</v>
      </c>
      <c r="R343" s="17" t="s">
        <v>38</v>
      </c>
      <c r="S343" s="17" t="s">
        <v>45</v>
      </c>
      <c r="T343" s="17"/>
      <c r="U343" s="17" t="s">
        <v>894</v>
      </c>
      <c r="V343" s="17" t="s">
        <v>95</v>
      </c>
      <c r="W343" s="17"/>
      <c r="X343" s="17"/>
      <c r="Y343" s="17"/>
      <c r="Z343" s="17"/>
      <c r="AA343" s="17"/>
      <c r="AB343" s="17" t="s">
        <v>49</v>
      </c>
      <c r="AC343" s="17"/>
      <c r="AD343" s="17" t="s">
        <v>50</v>
      </c>
      <c r="AE343" s="17"/>
      <c r="AF343" s="17"/>
      <c r="AG343" s="17"/>
      <c r="AH343" s="17"/>
      <c r="AI343" s="17"/>
      <c r="AJ343" s="17"/>
      <c r="AK343" s="29"/>
    </row>
    <row r="344" spans="1:37" ht="9.9499999999999993">
      <c r="A344" s="29">
        <v>46266</v>
      </c>
      <c r="B344" s="22">
        <v>3414089</v>
      </c>
      <c r="C344" s="17" t="s">
        <v>906</v>
      </c>
      <c r="D344" s="17" t="s">
        <v>38</v>
      </c>
      <c r="E344" s="17" t="s">
        <v>38</v>
      </c>
      <c r="F344" s="17"/>
      <c r="G344" s="17" t="str">
        <f>Table1[[#This Row],[DESCRIPCION_POSICION]]</f>
        <v>Op. Autoelevador</v>
      </c>
      <c r="H344" s="22" t="s">
        <v>909</v>
      </c>
      <c r="I344" s="17" t="s">
        <v>40</v>
      </c>
      <c r="J344" s="17" t="s">
        <v>68</v>
      </c>
      <c r="K344" s="36" t="s">
        <v>300</v>
      </c>
      <c r="L344" s="36" t="s">
        <v>892</v>
      </c>
      <c r="M344" s="103"/>
      <c r="N344" s="37" t="s">
        <v>910</v>
      </c>
      <c r="O344" s="36" t="str">
        <f>VLOOKUP(L344,CECOs!A:B,2,0)</f>
        <v>Operadores TLM</v>
      </c>
      <c r="P344" s="17" t="str">
        <f>VLOOKUP(B:B,CECOs!G:I,3,FALSE)</f>
        <v>Operadordeautoelevador</v>
      </c>
      <c r="Q344" s="17" t="str">
        <f>IF(_xlfn.XLOOKUP(L344,CECOs!A:A,CECOs!C:C,"")="",K344,_xlfn.XLOOKUP(L344,CECOs!A:A,CECOs!C:C,""))</f>
        <v>MACIAS, OSCAR  / SAFFE, JULIAN</v>
      </c>
      <c r="R344" s="17" t="s">
        <v>38</v>
      </c>
      <c r="S344" s="17" t="s">
        <v>45</v>
      </c>
      <c r="T344" s="17"/>
      <c r="U344" s="17" t="s">
        <v>894</v>
      </c>
      <c r="V344" s="17" t="s">
        <v>95</v>
      </c>
      <c r="W344" s="17"/>
      <c r="X344" s="17"/>
      <c r="Y344" s="17"/>
      <c r="Z344" s="17"/>
      <c r="AA344" s="17"/>
      <c r="AB344" s="17" t="s">
        <v>49</v>
      </c>
      <c r="AC344" s="17"/>
      <c r="AD344" s="17" t="s">
        <v>50</v>
      </c>
      <c r="AE344" s="17"/>
      <c r="AF344" s="17"/>
      <c r="AG344" s="17"/>
      <c r="AH344" s="17"/>
      <c r="AI344" s="17"/>
      <c r="AJ344" s="17"/>
      <c r="AK344" s="29"/>
    </row>
    <row r="345" spans="1:37" ht="9.9499999999999993">
      <c r="A345" s="29">
        <v>46266</v>
      </c>
      <c r="B345" s="22">
        <v>3414091</v>
      </c>
      <c r="C345" s="17" t="s">
        <v>906</v>
      </c>
      <c r="D345" s="17" t="s">
        <v>38</v>
      </c>
      <c r="E345" s="17" t="s">
        <v>38</v>
      </c>
      <c r="F345" s="17"/>
      <c r="G345" s="17" t="str">
        <f>Table1[[#This Row],[DESCRIPCION_POSICION]]</f>
        <v>Op. Autoelevador</v>
      </c>
      <c r="H345" s="17" t="s">
        <v>911</v>
      </c>
      <c r="I345" s="17" t="s">
        <v>40</v>
      </c>
      <c r="J345" s="17" t="s">
        <v>68</v>
      </c>
      <c r="K345" s="36" t="s">
        <v>300</v>
      </c>
      <c r="L345" s="36" t="s">
        <v>892</v>
      </c>
      <c r="M345" s="103"/>
      <c r="N345" s="37" t="s">
        <v>912</v>
      </c>
      <c r="O345" s="36" t="str">
        <f>VLOOKUP(L345,CECOs!A:B,2,0)</f>
        <v>Operadores TLM</v>
      </c>
      <c r="P345" s="17" t="str">
        <f>VLOOKUP(B:B,CECOs!G:I,3,FALSE)</f>
        <v>OperadordeCradle</v>
      </c>
      <c r="Q345" s="17" t="str">
        <f>IF(_xlfn.XLOOKUP(L345,CECOs!A:A,CECOs!C:C,"")="",K345,_xlfn.XLOOKUP(L345,CECOs!A:A,CECOs!C:C,""))</f>
        <v>MACIAS, OSCAR  / SAFFE, JULIAN</v>
      </c>
      <c r="R345" s="17" t="s">
        <v>38</v>
      </c>
      <c r="S345" s="17" t="s">
        <v>45</v>
      </c>
      <c r="T345" s="17"/>
      <c r="U345" s="17" t="s">
        <v>894</v>
      </c>
      <c r="V345" s="17" t="s">
        <v>95</v>
      </c>
      <c r="W345" s="17"/>
      <c r="X345" s="17"/>
      <c r="Y345" s="17"/>
      <c r="Z345" s="17"/>
      <c r="AA345" s="17"/>
      <c r="AB345" s="17" t="s">
        <v>49</v>
      </c>
      <c r="AC345" s="17"/>
      <c r="AD345" s="17" t="s">
        <v>50</v>
      </c>
      <c r="AE345" s="17"/>
      <c r="AF345" s="17"/>
      <c r="AG345" s="17"/>
      <c r="AH345" s="17"/>
      <c r="AI345" s="17"/>
      <c r="AJ345" s="17"/>
      <c r="AK345" s="29"/>
    </row>
    <row r="346" spans="1:37" ht="9.9499999999999993">
      <c r="A346" s="29">
        <v>46266</v>
      </c>
      <c r="B346" s="22">
        <v>3414092</v>
      </c>
      <c r="C346" s="17" t="s">
        <v>913</v>
      </c>
      <c r="D346" s="17" t="s">
        <v>38</v>
      </c>
      <c r="E346" s="17" t="s">
        <v>38</v>
      </c>
      <c r="F346" s="17"/>
      <c r="G346" s="17" t="str">
        <f>Table1[[#This Row],[DESCRIPCION_POSICION]]</f>
        <v>Op. Blender</v>
      </c>
      <c r="H346" s="22" t="s">
        <v>914</v>
      </c>
      <c r="I346" s="17" t="s">
        <v>40</v>
      </c>
      <c r="J346" s="17" t="s">
        <v>68</v>
      </c>
      <c r="K346" s="36" t="s">
        <v>300</v>
      </c>
      <c r="L346" s="36" t="s">
        <v>892</v>
      </c>
      <c r="M346" s="103"/>
      <c r="N346" s="37" t="s">
        <v>915</v>
      </c>
      <c r="O346" s="36" t="str">
        <f>VLOOKUP(L346,CECOs!A:B,2,0)</f>
        <v>Operadores TLM</v>
      </c>
      <c r="P346" s="17" t="str">
        <f>VLOOKUP(B:B,CECOs!G:I,3,FALSE)</f>
        <v>OperadordeCradle</v>
      </c>
      <c r="Q346" s="17" t="str">
        <f>IF(_xlfn.XLOOKUP(L346,CECOs!A:A,CECOs!C:C,"")="",K346,_xlfn.XLOOKUP(L346,CECOs!A:A,CECOs!C:C,""))</f>
        <v>MACIAS, OSCAR  / SAFFE, JULIAN</v>
      </c>
      <c r="R346" s="17" t="s">
        <v>38</v>
      </c>
      <c r="S346" s="17" t="s">
        <v>45</v>
      </c>
      <c r="T346" s="17"/>
      <c r="U346" s="17" t="s">
        <v>894</v>
      </c>
      <c r="V346" s="17" t="s">
        <v>95</v>
      </c>
      <c r="W346" s="17"/>
      <c r="X346" s="17"/>
      <c r="Y346" s="17"/>
      <c r="Z346" s="17"/>
      <c r="AA346" s="17"/>
      <c r="AB346" s="17" t="s">
        <v>49</v>
      </c>
      <c r="AC346" s="17"/>
      <c r="AD346" s="17" t="s">
        <v>50</v>
      </c>
      <c r="AE346" s="17"/>
      <c r="AF346" s="17"/>
      <c r="AG346" s="17"/>
      <c r="AH346" s="17"/>
      <c r="AI346" s="17"/>
      <c r="AJ346" s="17"/>
      <c r="AK346" s="29"/>
    </row>
    <row r="347" spans="1:37" ht="9.9499999999999993">
      <c r="A347" s="29">
        <v>46266</v>
      </c>
      <c r="B347" s="22">
        <v>3414093</v>
      </c>
      <c r="C347" s="17" t="s">
        <v>913</v>
      </c>
      <c r="D347" s="17" t="s">
        <v>38</v>
      </c>
      <c r="E347" s="17" t="s">
        <v>38</v>
      </c>
      <c r="F347" s="17"/>
      <c r="G347" s="17" t="str">
        <f>Table1[[#This Row],[DESCRIPCION_POSICION]]</f>
        <v>Op. Blender</v>
      </c>
      <c r="H347" s="22" t="s">
        <v>916</v>
      </c>
      <c r="I347" s="17" t="s">
        <v>40</v>
      </c>
      <c r="J347" s="17" t="s">
        <v>68</v>
      </c>
      <c r="K347" s="36" t="s">
        <v>300</v>
      </c>
      <c r="L347" s="36" t="s">
        <v>892</v>
      </c>
      <c r="M347" s="103"/>
      <c r="N347" s="37" t="s">
        <v>917</v>
      </c>
      <c r="O347" s="36" t="str">
        <f>VLOOKUP(L347,CECOs!A:B,2,0)</f>
        <v>Operadores TLM</v>
      </c>
      <c r="P347" s="17" t="str">
        <f>VLOOKUP(B:B,CECOs!G:I,3,FALSE)</f>
        <v>CuartoHombre</v>
      </c>
      <c r="Q347" s="17" t="str">
        <f>IF(_xlfn.XLOOKUP(L347,CECOs!A:A,CECOs!C:C,"")="",K347,_xlfn.XLOOKUP(L347,CECOs!A:A,CECOs!C:C,""))</f>
        <v>MACIAS, OSCAR  / SAFFE, JULIAN</v>
      </c>
      <c r="R347" s="17" t="s">
        <v>38</v>
      </c>
      <c r="S347" s="17" t="s">
        <v>45</v>
      </c>
      <c r="T347" s="17"/>
      <c r="U347" s="17" t="s">
        <v>894</v>
      </c>
      <c r="V347" s="17" t="s">
        <v>95</v>
      </c>
      <c r="W347" s="17"/>
      <c r="X347" s="17"/>
      <c r="Y347" s="17"/>
      <c r="Z347" s="17"/>
      <c r="AA347" s="17"/>
      <c r="AB347" s="17" t="s">
        <v>49</v>
      </c>
      <c r="AC347" s="17"/>
      <c r="AD347" s="17" t="s">
        <v>50</v>
      </c>
      <c r="AE347" s="17"/>
      <c r="AF347" s="17"/>
      <c r="AG347" s="17"/>
      <c r="AH347" s="17"/>
      <c r="AI347" s="17"/>
      <c r="AJ347" s="17"/>
      <c r="AK347" s="29"/>
    </row>
    <row r="348" spans="1:37" ht="9.9499999999999993">
      <c r="A348" s="29">
        <v>46266</v>
      </c>
      <c r="B348" s="22">
        <v>3414094</v>
      </c>
      <c r="C348" s="17" t="s">
        <v>913</v>
      </c>
      <c r="D348" s="17" t="s">
        <v>38</v>
      </c>
      <c r="E348" s="17" t="s">
        <v>38</v>
      </c>
      <c r="F348" s="17"/>
      <c r="G348" s="17" t="str">
        <f>Table1[[#This Row],[DESCRIPCION_POSICION]]</f>
        <v>Op. Blender</v>
      </c>
      <c r="H348" s="17" t="s">
        <v>918</v>
      </c>
      <c r="I348" s="17" t="s">
        <v>40</v>
      </c>
      <c r="J348" s="17" t="s">
        <v>68</v>
      </c>
      <c r="K348" s="36" t="s">
        <v>300</v>
      </c>
      <c r="L348" s="36" t="s">
        <v>892</v>
      </c>
      <c r="M348" s="103"/>
      <c r="N348" s="38" t="s">
        <v>919</v>
      </c>
      <c r="O348" s="36" t="str">
        <f>VLOOKUP(L348,CECOs!A:B,2,0)</f>
        <v>Operadores TLM</v>
      </c>
      <c r="P348" s="17" t="str">
        <f>VLOOKUP(B:B,CECOs!G:I,3,FALSE)</f>
        <v>CuartoHombre</v>
      </c>
      <c r="Q348" s="17" t="str">
        <f>IF(_xlfn.XLOOKUP(L348,CECOs!A:A,CECOs!C:C,"")="",K348,_xlfn.XLOOKUP(L348,CECOs!A:A,CECOs!C:C,""))</f>
        <v>MACIAS, OSCAR  / SAFFE, JULIAN</v>
      </c>
      <c r="R348" s="17" t="s">
        <v>38</v>
      </c>
      <c r="S348" s="17" t="s">
        <v>45</v>
      </c>
      <c r="T348" s="17"/>
      <c r="U348" s="17" t="s">
        <v>894</v>
      </c>
      <c r="V348" s="17" t="s">
        <v>95</v>
      </c>
      <c r="W348" s="17"/>
      <c r="X348" s="17"/>
      <c r="Y348" s="17"/>
      <c r="Z348" s="17"/>
      <c r="AA348" s="17"/>
      <c r="AB348" s="17" t="s">
        <v>49</v>
      </c>
      <c r="AC348" s="17"/>
      <c r="AD348" s="17" t="s">
        <v>50</v>
      </c>
      <c r="AE348" s="17"/>
      <c r="AF348" s="17"/>
      <c r="AG348" s="17"/>
      <c r="AH348" s="17"/>
      <c r="AI348" s="17"/>
      <c r="AJ348" s="17"/>
      <c r="AK348" s="29"/>
    </row>
    <row r="349" spans="1:37" ht="9.9499999999999993">
      <c r="A349" s="29">
        <v>46266</v>
      </c>
      <c r="B349" s="22">
        <v>3414095</v>
      </c>
      <c r="C349" s="17" t="s">
        <v>920</v>
      </c>
      <c r="D349" s="17" t="s">
        <v>38</v>
      </c>
      <c r="E349" s="17" t="s">
        <v>38</v>
      </c>
      <c r="F349" s="17"/>
      <c r="G349" s="17" t="str">
        <f>Table1[[#This Row],[DESCRIPCION_POSICION]]</f>
        <v>Relevo</v>
      </c>
      <c r="H349" s="17" t="s">
        <v>921</v>
      </c>
      <c r="I349" s="17" t="s">
        <v>40</v>
      </c>
      <c r="J349" s="17" t="s">
        <v>68</v>
      </c>
      <c r="K349" s="36" t="s">
        <v>300</v>
      </c>
      <c r="L349" s="36" t="s">
        <v>922</v>
      </c>
      <c r="M349" s="103"/>
      <c r="N349" s="37" t="s">
        <v>923</v>
      </c>
      <c r="O349" s="36" t="str">
        <f>VLOOKUP(L349,CECOs!A:B,2,0)</f>
        <v>Relevos TLM</v>
      </c>
      <c r="P349" s="17" t="str">
        <f>VLOOKUP(B:B,CECOs!G:I,3,FALSE)</f>
        <v>CuartoHombre</v>
      </c>
      <c r="Q349" s="17" t="str">
        <f>IF(_xlfn.XLOOKUP(L349,CECOs!A:A,CECOs!C:C,"")="",K349,_xlfn.XLOOKUP(L349,CECOs!A:A,CECOs!C:C,""))</f>
        <v>MACIAS, OSCAR  / SAFFE, JULIAN</v>
      </c>
      <c r="R349" s="17" t="s">
        <v>38</v>
      </c>
      <c r="S349" s="17" t="s">
        <v>45</v>
      </c>
      <c r="T349" s="17"/>
      <c r="U349" s="17" t="s">
        <v>894</v>
      </c>
      <c r="V349" s="17" t="s">
        <v>95</v>
      </c>
      <c r="W349" s="17"/>
      <c r="X349" s="17"/>
      <c r="Y349" s="17"/>
      <c r="Z349" s="17"/>
      <c r="AA349" s="17"/>
      <c r="AB349" s="17" t="s">
        <v>49</v>
      </c>
      <c r="AC349" s="17"/>
      <c r="AD349" s="17" t="s">
        <v>50</v>
      </c>
      <c r="AE349" s="17"/>
      <c r="AF349" s="17"/>
      <c r="AG349" s="17"/>
      <c r="AH349" s="17"/>
      <c r="AI349" s="17"/>
      <c r="AJ349" s="17"/>
      <c r="AK349" s="29"/>
    </row>
    <row r="350" spans="1:37" ht="9.9499999999999993">
      <c r="A350" s="29">
        <v>46266</v>
      </c>
      <c r="B350" s="22">
        <v>3414096</v>
      </c>
      <c r="C350" s="17" t="s">
        <v>920</v>
      </c>
      <c r="D350" s="17" t="s">
        <v>38</v>
      </c>
      <c r="E350" s="17" t="s">
        <v>38</v>
      </c>
      <c r="F350" s="17"/>
      <c r="G350" s="17" t="str">
        <f>Table1[[#This Row],[DESCRIPCION_POSICION]]</f>
        <v>Relevo</v>
      </c>
      <c r="H350" s="22" t="s">
        <v>924</v>
      </c>
      <c r="I350" s="17" t="s">
        <v>40</v>
      </c>
      <c r="J350" s="17" t="s">
        <v>68</v>
      </c>
      <c r="K350" s="36" t="s">
        <v>300</v>
      </c>
      <c r="L350" s="36" t="s">
        <v>922</v>
      </c>
      <c r="M350" s="103"/>
      <c r="N350" s="37" t="s">
        <v>925</v>
      </c>
      <c r="O350" s="36" t="str">
        <f>VLOOKUP(L350,CECOs!A:B,2,0)</f>
        <v>Relevos TLM</v>
      </c>
      <c r="P350" s="17" t="str">
        <f>VLOOKUP(B:B,CECOs!G:I,3,FALSE)</f>
        <v>CuartoHombre</v>
      </c>
      <c r="Q350" s="17" t="str">
        <f>IF(_xlfn.XLOOKUP(L350,CECOs!A:A,CECOs!C:C,"")="",K350,_xlfn.XLOOKUP(L350,CECOs!A:A,CECOs!C:C,""))</f>
        <v>MACIAS, OSCAR  / SAFFE, JULIAN</v>
      </c>
      <c r="R350" s="17" t="s">
        <v>38</v>
      </c>
      <c r="S350" s="17" t="s">
        <v>45</v>
      </c>
      <c r="T350" s="17"/>
      <c r="U350" s="17" t="s">
        <v>894</v>
      </c>
      <c r="V350" s="17" t="s">
        <v>95</v>
      </c>
      <c r="W350" s="17"/>
      <c r="X350" s="17"/>
      <c r="Y350" s="17"/>
      <c r="Z350" s="17"/>
      <c r="AA350" s="17"/>
      <c r="AB350" s="17" t="s">
        <v>49</v>
      </c>
      <c r="AC350" s="17"/>
      <c r="AD350" s="17" t="s">
        <v>50</v>
      </c>
      <c r="AE350" s="17"/>
      <c r="AF350" s="17"/>
      <c r="AG350" s="17"/>
      <c r="AH350" s="17"/>
      <c r="AI350" s="17"/>
      <c r="AJ350" s="17"/>
      <c r="AK350" s="29"/>
    </row>
    <row r="351" spans="1:37" ht="9.9499999999999993">
      <c r="A351" s="29">
        <v>46266</v>
      </c>
      <c r="B351" s="22">
        <v>3414097</v>
      </c>
      <c r="C351" s="17" t="s">
        <v>920</v>
      </c>
      <c r="D351" s="17" t="s">
        <v>38</v>
      </c>
      <c r="E351" s="17" t="s">
        <v>38</v>
      </c>
      <c r="F351" s="17"/>
      <c r="G351" s="17" t="str">
        <f>Table1[[#This Row],[DESCRIPCION_POSICION]]</f>
        <v>Relevo</v>
      </c>
      <c r="H351" s="17" t="s">
        <v>926</v>
      </c>
      <c r="I351" s="17" t="s">
        <v>40</v>
      </c>
      <c r="J351" s="17" t="s">
        <v>68</v>
      </c>
      <c r="K351" s="36" t="s">
        <v>300</v>
      </c>
      <c r="L351" s="36" t="s">
        <v>922</v>
      </c>
      <c r="M351" s="103"/>
      <c r="N351" s="38" t="s">
        <v>927</v>
      </c>
      <c r="O351" s="36" t="str">
        <f>VLOOKUP(L351,CECOs!A:B,2,0)</f>
        <v>Relevos TLM</v>
      </c>
      <c r="P351" s="17" t="str">
        <f>VLOOKUP(B:B,CECOs!G:I,3,FALSE)</f>
        <v>CuartoHombre</v>
      </c>
      <c r="Q351" s="17" t="str">
        <f>IF(_xlfn.XLOOKUP(L351,CECOs!A:A,CECOs!C:C,"")="",K351,_xlfn.XLOOKUP(L351,CECOs!A:A,CECOs!C:C,""))</f>
        <v>MACIAS, OSCAR  / SAFFE, JULIAN</v>
      </c>
      <c r="R351" s="17" t="s">
        <v>38</v>
      </c>
      <c r="S351" s="17" t="s">
        <v>45</v>
      </c>
      <c r="T351" s="17"/>
      <c r="U351" s="17" t="s">
        <v>894</v>
      </c>
      <c r="V351" s="17" t="s">
        <v>95</v>
      </c>
      <c r="W351" s="17"/>
      <c r="X351" s="17"/>
      <c r="Y351" s="17"/>
      <c r="Z351" s="17"/>
      <c r="AA351" s="17"/>
      <c r="AB351" s="17" t="s">
        <v>49</v>
      </c>
      <c r="AC351" s="17"/>
      <c r="AD351" s="17" t="s">
        <v>50</v>
      </c>
      <c r="AE351" s="17"/>
      <c r="AF351" s="17"/>
      <c r="AG351" s="17"/>
      <c r="AH351" s="17"/>
      <c r="AI351" s="17"/>
      <c r="AJ351" s="17"/>
      <c r="AK351" s="29"/>
    </row>
    <row r="352" spans="1:37" ht="9.9499999999999993">
      <c r="A352" s="29">
        <v>46266</v>
      </c>
      <c r="B352" s="22">
        <v>3418971</v>
      </c>
      <c r="C352" s="17" t="s">
        <v>928</v>
      </c>
      <c r="D352" s="17" t="s">
        <v>38</v>
      </c>
      <c r="E352" s="17" t="s">
        <v>38</v>
      </c>
      <c r="F352" s="17"/>
      <c r="G352" s="17" t="str">
        <f>Table1[[#This Row],[DESCRIPCION_POSICION]]</f>
        <v>Trainee Plantas</v>
      </c>
      <c r="H352" s="49"/>
      <c r="I352" s="17" t="s">
        <v>40</v>
      </c>
      <c r="J352" s="17" t="s">
        <v>68</v>
      </c>
      <c r="K352" s="17" t="s">
        <v>86</v>
      </c>
      <c r="L352" s="36" t="s">
        <v>521</v>
      </c>
      <c r="M352" s="103"/>
      <c r="N352" s="79" t="s">
        <v>929</v>
      </c>
      <c r="O352" s="36" t="str">
        <f>VLOOKUP(L352,CECOs!A:B,2,0)</f>
        <v>Oper. LTS FP</v>
      </c>
      <c r="P352" s="17" t="e">
        <f>VLOOKUP(B:B,CECOs!G:I,3,FALSE)</f>
        <v>#N/A</v>
      </c>
      <c r="Q352" s="17" t="str">
        <f>IF(_xlfn.XLOOKUP(L352,CECOs!A:A,CECOs!C:C,"")="",K352,_xlfn.XLOOKUP(L352,CECOs!A:A,CECOs!C:C,""))</f>
        <v>HUARTE, ESTEBAN</v>
      </c>
      <c r="R352" s="17" t="s">
        <v>38</v>
      </c>
      <c r="S352" s="17" t="s">
        <v>45</v>
      </c>
      <c r="T352" s="17"/>
      <c r="U352" s="17" t="s">
        <v>217</v>
      </c>
      <c r="V352" s="17" t="s">
        <v>95</v>
      </c>
      <c r="W352" s="17"/>
      <c r="X352" s="17"/>
      <c r="Y352" s="17"/>
      <c r="Z352" s="17"/>
      <c r="AA352" s="17"/>
      <c r="AB352" s="17" t="s">
        <v>49</v>
      </c>
      <c r="AC352" s="17"/>
      <c r="AD352" s="17" t="s">
        <v>50</v>
      </c>
      <c r="AE352" s="17"/>
      <c r="AF352" s="17"/>
      <c r="AG352" s="17"/>
      <c r="AH352" s="17"/>
      <c r="AI352" s="17"/>
      <c r="AJ352" s="17"/>
      <c r="AK352" s="29"/>
    </row>
    <row r="353" spans="1:37" ht="9.9499999999999993">
      <c r="A353" s="29">
        <v>46266</v>
      </c>
      <c r="B353" s="22">
        <v>3437878</v>
      </c>
      <c r="C353" s="17" t="s">
        <v>318</v>
      </c>
      <c r="D353" s="17" t="s">
        <v>38</v>
      </c>
      <c r="E353" s="17" t="s">
        <v>38</v>
      </c>
      <c r="F353" s="17"/>
      <c r="G353" s="17" t="str">
        <f>Table1[[#This Row],[DESCRIPCION_POSICION]]</f>
        <v>Well Services Supervisor</v>
      </c>
      <c r="H353" s="53" t="s">
        <v>930</v>
      </c>
      <c r="I353" s="17" t="s">
        <v>40</v>
      </c>
      <c r="J353" s="17" t="s">
        <v>68</v>
      </c>
      <c r="K353" s="17" t="s">
        <v>320</v>
      </c>
      <c r="L353" s="54" t="s">
        <v>79</v>
      </c>
      <c r="M353" s="103"/>
      <c r="N353" s="81" t="s">
        <v>931</v>
      </c>
      <c r="O353" s="36" t="str">
        <f>VLOOKUP(L353,CECOs!A:B,2,0)</f>
        <v>Supervisores Well Services</v>
      </c>
      <c r="P353" s="17" t="e">
        <f>VLOOKUP(B:B,CECOs!G:I,3,FALSE)</f>
        <v>#N/A</v>
      </c>
      <c r="Q353" s="17" t="str">
        <f>IF(_xlfn.XLOOKUP(L353,CECOs!A:A,CECOs!C:C,"")="",K353,_xlfn.XLOOKUP(L353,CECOs!A:A,CECOs!C:C,""))</f>
        <v>Buzaglo Sebastian</v>
      </c>
      <c r="R353" s="17" t="s">
        <v>38</v>
      </c>
      <c r="S353" s="17" t="s">
        <v>45</v>
      </c>
      <c r="T353" s="17"/>
      <c r="U353" s="17" t="s">
        <v>217</v>
      </c>
      <c r="V353" s="17" t="s">
        <v>48</v>
      </c>
      <c r="W353" s="17"/>
      <c r="X353" s="17"/>
      <c r="Y353" s="17"/>
      <c r="Z353" s="17"/>
      <c r="AA353" s="17"/>
      <c r="AB353" s="17" t="s">
        <v>49</v>
      </c>
      <c r="AC353" s="17"/>
      <c r="AD353" s="17" t="s">
        <v>50</v>
      </c>
      <c r="AE353" s="17"/>
      <c r="AF353" s="17"/>
      <c r="AG353" s="17"/>
      <c r="AH353" s="17"/>
      <c r="AI353" s="17"/>
      <c r="AJ353" s="17"/>
      <c r="AK353" s="29"/>
    </row>
    <row r="354" spans="1:37" ht="9.9499999999999993">
      <c r="A354" s="29">
        <v>46266</v>
      </c>
      <c r="B354" s="22">
        <v>3418962</v>
      </c>
      <c r="C354" s="17" t="s">
        <v>932</v>
      </c>
      <c r="D354" s="17" t="s">
        <v>38</v>
      </c>
      <c r="E354" s="17" t="s">
        <v>38</v>
      </c>
      <c r="F354" s="17"/>
      <c r="G354" s="17" t="str">
        <f>Table1[[#This Row],[DESCRIPCION_POSICION]]</f>
        <v>Ayudante tareas generales</v>
      </c>
      <c r="H354" s="17" t="s">
        <v>933</v>
      </c>
      <c r="I354" s="17" t="s">
        <v>40</v>
      </c>
      <c r="J354" s="17" t="s">
        <v>68</v>
      </c>
      <c r="K354" s="36" t="s">
        <v>73</v>
      </c>
      <c r="L354" s="36" t="s">
        <v>829</v>
      </c>
      <c r="M354" s="103"/>
      <c r="N354" s="38" t="s">
        <v>934</v>
      </c>
      <c r="O354" s="36" t="str">
        <f>VLOOKUP(L354,CECOs!A:B,2,0)</f>
        <v>T. Grales Serge LT2E</v>
      </c>
      <c r="P354" s="17" t="str">
        <f>VLOOKUP(B:B,CECOs!G:I,3,FALSE)</f>
        <v>Serviciosgenerales</v>
      </c>
      <c r="Q354" s="17" t="str">
        <f>IF(_xlfn.XLOOKUP(L354,CECOs!A:A,CECOs!C:C,"")="",K354,_xlfn.XLOOKUP(L354,CECOs!A:A,CECOs!C:C,""))</f>
        <v>MERCADO, MAURICIO / FREDES, RUBEN</v>
      </c>
      <c r="R354" s="17" t="s">
        <v>38</v>
      </c>
      <c r="S354" s="17" t="s">
        <v>45</v>
      </c>
      <c r="T354" s="17"/>
      <c r="U354" s="17" t="s">
        <v>143</v>
      </c>
      <c r="V354" s="17" t="s">
        <v>95</v>
      </c>
      <c r="W354" s="17"/>
      <c r="X354" s="17"/>
      <c r="Y354" s="17"/>
      <c r="Z354" s="17"/>
      <c r="AA354" s="17"/>
      <c r="AB354" s="17" t="s">
        <v>49</v>
      </c>
      <c r="AC354" s="17"/>
      <c r="AD354" s="17" t="s">
        <v>50</v>
      </c>
      <c r="AE354" s="17"/>
      <c r="AF354" s="17"/>
      <c r="AG354" s="17"/>
      <c r="AH354" s="17"/>
      <c r="AI354" s="17"/>
      <c r="AJ354" s="17"/>
      <c r="AK354" s="29"/>
    </row>
    <row r="355" spans="1:37" ht="9.9499999999999993">
      <c r="A355" s="29">
        <v>46266</v>
      </c>
      <c r="B355" s="22">
        <v>3418963</v>
      </c>
      <c r="C355" s="17" t="s">
        <v>935</v>
      </c>
      <c r="D355" s="17" t="s">
        <v>38</v>
      </c>
      <c r="E355" s="17" t="s">
        <v>38</v>
      </c>
      <c r="F355" s="17"/>
      <c r="G355" s="17" t="str">
        <f>Table1[[#This Row],[DESCRIPCION_POSICION]]</f>
        <v>Operador Well Services</v>
      </c>
      <c r="H355" s="53" t="s">
        <v>936</v>
      </c>
      <c r="I355" s="17" t="s">
        <v>40</v>
      </c>
      <c r="J355" s="17" t="s">
        <v>68</v>
      </c>
      <c r="K355" s="17" t="s">
        <v>80</v>
      </c>
      <c r="L355" s="36" t="s">
        <v>683</v>
      </c>
      <c r="M355" s="103"/>
      <c r="N355" s="38" t="s">
        <v>937</v>
      </c>
      <c r="O355" s="36" t="str">
        <f>VLOOKUP(L355,CECOs!A:B,2,0)</f>
        <v>Oper Well Services FP</v>
      </c>
      <c r="P355" s="17" t="str">
        <f>VLOOKUP(B:B,CECOs!G:I,3,FALSE)</f>
        <v>WellServices</v>
      </c>
      <c r="Q355" s="17" t="str">
        <f>IF(_xlfn.XLOOKUP(L355,CECOs!A:A,CECOs!C:C,"")="",K355,_xlfn.XLOOKUP(L355,CECOs!A:A,CECOs!C:C,""))</f>
        <v>MACIAS, OSCAR  / SAFFE, JULIAN</v>
      </c>
      <c r="R355" s="17" t="s">
        <v>38</v>
      </c>
      <c r="S355" s="17" t="s">
        <v>45</v>
      </c>
      <c r="T355" s="17"/>
      <c r="U355" s="17" t="s">
        <v>217</v>
      </c>
      <c r="V355" s="17" t="s">
        <v>95</v>
      </c>
      <c r="W355" s="17"/>
      <c r="X355" s="17"/>
      <c r="Y355" s="17"/>
      <c r="Z355" s="17"/>
      <c r="AA355" s="17"/>
      <c r="AB355" s="17" t="s">
        <v>49</v>
      </c>
      <c r="AC355" s="17"/>
      <c r="AD355" s="17" t="s">
        <v>50</v>
      </c>
      <c r="AE355" s="17"/>
      <c r="AF355" s="17"/>
      <c r="AG355" s="17"/>
      <c r="AH355" s="17"/>
      <c r="AI355" s="17"/>
      <c r="AJ355" s="17"/>
      <c r="AK355" s="29"/>
    </row>
    <row r="356" spans="1:37" ht="9.9499999999999993">
      <c r="A356" s="29">
        <v>46266</v>
      </c>
      <c r="B356" s="22">
        <v>3418964</v>
      </c>
      <c r="C356" s="17" t="s">
        <v>935</v>
      </c>
      <c r="D356" s="17" t="s">
        <v>38</v>
      </c>
      <c r="E356" s="17" t="s">
        <v>38</v>
      </c>
      <c r="F356" s="17"/>
      <c r="G356" s="17" t="str">
        <f>Table1[[#This Row],[DESCRIPCION_POSICION]]</f>
        <v>Operador Well Services</v>
      </c>
      <c r="H356" s="17" t="s">
        <v>938</v>
      </c>
      <c r="I356" s="17" t="s">
        <v>40</v>
      </c>
      <c r="J356" s="17" t="s">
        <v>68</v>
      </c>
      <c r="K356" s="17" t="s">
        <v>80</v>
      </c>
      <c r="L356" s="36" t="s">
        <v>683</v>
      </c>
      <c r="M356" s="103"/>
      <c r="N356" s="38" t="s">
        <v>939</v>
      </c>
      <c r="O356" s="36" t="str">
        <f>VLOOKUP(L356,CECOs!A:B,2,0)</f>
        <v>Oper Well Services FP</v>
      </c>
      <c r="P356" s="17" t="str">
        <f>VLOOKUP(B:B,CECOs!G:I,3,FALSE)</f>
        <v>WellServices</v>
      </c>
      <c r="Q356" s="17" t="str">
        <f>IF(_xlfn.XLOOKUP(L356,CECOs!A:A,CECOs!C:C,"")="",K356,_xlfn.XLOOKUP(L356,CECOs!A:A,CECOs!C:C,""))</f>
        <v>MACIAS, OSCAR  / SAFFE, JULIAN</v>
      </c>
      <c r="R356" s="17" t="s">
        <v>38</v>
      </c>
      <c r="S356" s="17" t="s">
        <v>45</v>
      </c>
      <c r="T356" s="17"/>
      <c r="U356" s="17" t="s">
        <v>217</v>
      </c>
      <c r="V356" s="17" t="s">
        <v>95</v>
      </c>
      <c r="W356" s="17"/>
      <c r="X356" s="17"/>
      <c r="Y356" s="17"/>
      <c r="Z356" s="17"/>
      <c r="AA356" s="17"/>
      <c r="AB356" s="17" t="s">
        <v>49</v>
      </c>
      <c r="AC356" s="17"/>
      <c r="AD356" s="17" t="s">
        <v>50</v>
      </c>
      <c r="AE356" s="17"/>
      <c r="AF356" s="17"/>
      <c r="AG356" s="17"/>
      <c r="AH356" s="17"/>
      <c r="AI356" s="17"/>
      <c r="AJ356" s="17"/>
      <c r="AK356" s="29"/>
    </row>
    <row r="357" spans="1:37" ht="9.9499999999999993">
      <c r="A357" s="29">
        <v>46266</v>
      </c>
      <c r="B357" s="22">
        <v>3418965</v>
      </c>
      <c r="C357" s="17" t="s">
        <v>935</v>
      </c>
      <c r="D357" s="17" t="s">
        <v>38</v>
      </c>
      <c r="E357" s="17" t="s">
        <v>38</v>
      </c>
      <c r="F357" s="17"/>
      <c r="G357" s="17" t="str">
        <f>Table1[[#This Row],[DESCRIPCION_POSICION]]</f>
        <v>Operador Well Services</v>
      </c>
      <c r="H357" s="17" t="s">
        <v>940</v>
      </c>
      <c r="I357" s="17" t="s">
        <v>40</v>
      </c>
      <c r="J357" s="17" t="s">
        <v>68</v>
      </c>
      <c r="K357" s="17" t="s">
        <v>80</v>
      </c>
      <c r="L357" s="36" t="s">
        <v>683</v>
      </c>
      <c r="M357" s="103"/>
      <c r="N357" s="38" t="s">
        <v>941</v>
      </c>
      <c r="O357" s="36" t="str">
        <f>VLOOKUP(L357,CECOs!A:B,2,0)</f>
        <v>Oper Well Services FP</v>
      </c>
      <c r="P357" s="17" t="str">
        <f>VLOOKUP(B:B,CECOs!G:I,3,FALSE)</f>
        <v>WellServices</v>
      </c>
      <c r="Q357" s="17" t="str">
        <f>IF(_xlfn.XLOOKUP(L357,CECOs!A:A,CECOs!C:C,"")="",K357,_xlfn.XLOOKUP(L357,CECOs!A:A,CECOs!C:C,""))</f>
        <v>MACIAS, OSCAR  / SAFFE, JULIAN</v>
      </c>
      <c r="R357" s="17" t="s">
        <v>38</v>
      </c>
      <c r="S357" s="17" t="s">
        <v>45</v>
      </c>
      <c r="T357" s="17"/>
      <c r="U357" s="17" t="s">
        <v>217</v>
      </c>
      <c r="V357" s="17" t="s">
        <v>95</v>
      </c>
      <c r="W357" s="17"/>
      <c r="X357" s="17"/>
      <c r="Y357" s="17"/>
      <c r="Z357" s="17"/>
      <c r="AA357" s="17"/>
      <c r="AB357" s="17" t="s">
        <v>49</v>
      </c>
      <c r="AC357" s="17"/>
      <c r="AD357" s="17" t="s">
        <v>50</v>
      </c>
      <c r="AE357" s="17"/>
      <c r="AF357" s="17"/>
      <c r="AG357" s="17"/>
      <c r="AH357" s="17"/>
      <c r="AI357" s="17"/>
      <c r="AJ357" s="17"/>
      <c r="AK357" s="29"/>
    </row>
    <row r="358" spans="1:37" ht="9.9499999999999993">
      <c r="A358" s="29">
        <v>46266</v>
      </c>
      <c r="B358" s="22">
        <v>3418966</v>
      </c>
      <c r="C358" s="17" t="s">
        <v>935</v>
      </c>
      <c r="D358" s="17" t="s">
        <v>38</v>
      </c>
      <c r="E358" s="17" t="s">
        <v>38</v>
      </c>
      <c r="F358" s="17"/>
      <c r="G358" s="17" t="str">
        <f>Table1[[#This Row],[DESCRIPCION_POSICION]]</f>
        <v>Operador Well Services</v>
      </c>
      <c r="H358" s="17" t="s">
        <v>942</v>
      </c>
      <c r="I358" s="17" t="s">
        <v>40</v>
      </c>
      <c r="J358" s="17" t="s">
        <v>68</v>
      </c>
      <c r="K358" s="17" t="s">
        <v>80</v>
      </c>
      <c r="L358" s="36" t="s">
        <v>683</v>
      </c>
      <c r="M358" s="103"/>
      <c r="N358" s="38" t="s">
        <v>943</v>
      </c>
      <c r="O358" s="36" t="str">
        <f>VLOOKUP(L358,CECOs!A:B,2,0)</f>
        <v>Oper Well Services FP</v>
      </c>
      <c r="P358" s="17" t="str">
        <f>VLOOKUP(B:B,CECOs!G:I,3,FALSE)</f>
        <v>WellServices</v>
      </c>
      <c r="Q358" s="17" t="str">
        <f>IF(_xlfn.XLOOKUP(L358,CECOs!A:A,CECOs!C:C,"")="",K358,_xlfn.XLOOKUP(L358,CECOs!A:A,CECOs!C:C,""))</f>
        <v>MACIAS, OSCAR  / SAFFE, JULIAN</v>
      </c>
      <c r="R358" s="17" t="s">
        <v>38</v>
      </c>
      <c r="S358" s="17" t="s">
        <v>45</v>
      </c>
      <c r="T358" s="17"/>
      <c r="U358" s="17" t="s">
        <v>217</v>
      </c>
      <c r="V358" s="17" t="s">
        <v>95</v>
      </c>
      <c r="W358" s="17"/>
      <c r="X358" s="17"/>
      <c r="Y358" s="17"/>
      <c r="Z358" s="17"/>
      <c r="AA358" s="17"/>
      <c r="AB358" s="17" t="s">
        <v>49</v>
      </c>
      <c r="AC358" s="17"/>
      <c r="AD358" s="17" t="s">
        <v>50</v>
      </c>
      <c r="AE358" s="17"/>
      <c r="AF358" s="17"/>
      <c r="AG358" s="17"/>
      <c r="AH358" s="17"/>
      <c r="AI358" s="17"/>
      <c r="AJ358" s="17"/>
      <c r="AK358" s="29"/>
    </row>
    <row r="359" spans="1:37" ht="9.9499999999999993">
      <c r="A359" s="29">
        <v>46266</v>
      </c>
      <c r="B359" s="22">
        <v>3418967</v>
      </c>
      <c r="C359" s="17" t="s">
        <v>935</v>
      </c>
      <c r="D359" s="17" t="s">
        <v>38</v>
      </c>
      <c r="E359" s="17" t="s">
        <v>38</v>
      </c>
      <c r="F359" s="17"/>
      <c r="G359" s="17" t="str">
        <f>Table1[[#This Row],[DESCRIPCION_POSICION]]</f>
        <v>Operador Well Services</v>
      </c>
      <c r="H359" s="17" t="s">
        <v>944</v>
      </c>
      <c r="I359" s="17" t="s">
        <v>40</v>
      </c>
      <c r="J359" s="17" t="s">
        <v>68</v>
      </c>
      <c r="K359" s="17" t="s">
        <v>80</v>
      </c>
      <c r="L359" s="36" t="s">
        <v>683</v>
      </c>
      <c r="M359" s="103"/>
      <c r="N359" s="38" t="s">
        <v>945</v>
      </c>
      <c r="O359" s="36" t="str">
        <f>VLOOKUP(L359,CECOs!A:B,2,0)</f>
        <v>Oper Well Services FP</v>
      </c>
      <c r="P359" s="17" t="str">
        <f>VLOOKUP(B:B,CECOs!G:I,3,FALSE)</f>
        <v>WellServices</v>
      </c>
      <c r="Q359" s="17" t="str">
        <f>IF(_xlfn.XLOOKUP(L359,CECOs!A:A,CECOs!C:C,"")="",K359,_xlfn.XLOOKUP(L359,CECOs!A:A,CECOs!C:C,""))</f>
        <v>MACIAS, OSCAR  / SAFFE, JULIAN</v>
      </c>
      <c r="R359" s="17" t="s">
        <v>38</v>
      </c>
      <c r="S359" s="17" t="s">
        <v>45</v>
      </c>
      <c r="T359" s="17"/>
      <c r="U359" s="17" t="s">
        <v>217</v>
      </c>
      <c r="V359" s="17" t="s">
        <v>95</v>
      </c>
      <c r="W359" s="17"/>
      <c r="X359" s="17"/>
      <c r="Y359" s="17"/>
      <c r="Z359" s="17"/>
      <c r="AA359" s="17"/>
      <c r="AB359" s="17" t="s">
        <v>49</v>
      </c>
      <c r="AC359" s="17"/>
      <c r="AD359" s="17" t="s">
        <v>50</v>
      </c>
      <c r="AE359" s="17"/>
      <c r="AF359" s="17"/>
      <c r="AG359" s="17"/>
      <c r="AH359" s="17"/>
      <c r="AI359" s="17"/>
      <c r="AJ359" s="17"/>
      <c r="AK359" s="29"/>
    </row>
    <row r="360" spans="1:37" ht="14.45" customHeight="1">
      <c r="A360" s="29">
        <v>46266</v>
      </c>
      <c r="B360" s="22">
        <v>3418968</v>
      </c>
      <c r="C360" s="17" t="s">
        <v>935</v>
      </c>
      <c r="D360" s="17" t="s">
        <v>38</v>
      </c>
      <c r="E360" s="17" t="s">
        <v>38</v>
      </c>
      <c r="F360" s="17"/>
      <c r="G360" s="17" t="str">
        <f>Table1[[#This Row],[DESCRIPCION_POSICION]]</f>
        <v>Operador Well Services</v>
      </c>
      <c r="H360" s="17" t="s">
        <v>946</v>
      </c>
      <c r="I360" s="17" t="s">
        <v>40</v>
      </c>
      <c r="J360" s="17" t="s">
        <v>68</v>
      </c>
      <c r="K360" s="17" t="s">
        <v>80</v>
      </c>
      <c r="L360" s="36" t="s">
        <v>683</v>
      </c>
      <c r="M360" s="103"/>
      <c r="N360" s="38" t="s">
        <v>947</v>
      </c>
      <c r="O360" s="36" t="str">
        <f>VLOOKUP(L360,CECOs!A:B,2,0)</f>
        <v>Oper Well Services FP</v>
      </c>
      <c r="P360" s="17" t="str">
        <f>VLOOKUP(B:B,CECOs!G:I,3,FALSE)</f>
        <v>WellServices</v>
      </c>
      <c r="Q360" s="17" t="str">
        <f>IF(_xlfn.XLOOKUP(L360,CECOs!A:A,CECOs!C:C,"")="",K360,_xlfn.XLOOKUP(L360,CECOs!A:A,CECOs!C:C,""))</f>
        <v>MACIAS, OSCAR  / SAFFE, JULIAN</v>
      </c>
      <c r="R360" s="17" t="s">
        <v>38</v>
      </c>
      <c r="S360" s="17" t="s">
        <v>45</v>
      </c>
      <c r="T360" s="17"/>
      <c r="U360" s="17" t="s">
        <v>217</v>
      </c>
      <c r="V360" s="17" t="s">
        <v>95</v>
      </c>
      <c r="W360" s="17"/>
      <c r="X360" s="17"/>
      <c r="Y360" s="17"/>
      <c r="Z360" s="17"/>
      <c r="AA360" s="17"/>
      <c r="AB360" s="17" t="s">
        <v>49</v>
      </c>
      <c r="AC360" s="17"/>
      <c r="AD360" s="17" t="s">
        <v>50</v>
      </c>
      <c r="AE360" s="17"/>
      <c r="AF360" s="17"/>
      <c r="AG360" s="17"/>
      <c r="AH360" s="17"/>
      <c r="AI360" s="17"/>
      <c r="AJ360" s="17"/>
      <c r="AK360" s="29"/>
    </row>
    <row r="361" spans="1:37" ht="9.9499999999999993">
      <c r="A361" s="29">
        <v>46266</v>
      </c>
      <c r="B361" s="22">
        <v>3418969</v>
      </c>
      <c r="C361" s="17" t="s">
        <v>935</v>
      </c>
      <c r="D361" s="17" t="s">
        <v>38</v>
      </c>
      <c r="E361" s="17" t="s">
        <v>38</v>
      </c>
      <c r="F361" s="17"/>
      <c r="G361" s="17" t="str">
        <f>Table1[[#This Row],[DESCRIPCION_POSICION]]</f>
        <v>Operador Well Services</v>
      </c>
      <c r="H361" s="17" t="s">
        <v>948</v>
      </c>
      <c r="I361" s="17" t="s">
        <v>40</v>
      </c>
      <c r="J361" s="17" t="s">
        <v>68</v>
      </c>
      <c r="K361" s="17" t="s">
        <v>80</v>
      </c>
      <c r="L361" s="36" t="s">
        <v>683</v>
      </c>
      <c r="M361" s="103"/>
      <c r="N361" s="38" t="s">
        <v>949</v>
      </c>
      <c r="O361" s="36" t="str">
        <f>VLOOKUP(L361,CECOs!A:B,2,0)</f>
        <v>Oper Well Services FP</v>
      </c>
      <c r="P361" s="17" t="str">
        <f>VLOOKUP(B:B,CECOs!G:I,3,FALSE)</f>
        <v>WellServices</v>
      </c>
      <c r="Q361" s="17" t="str">
        <f>IF(_xlfn.XLOOKUP(L361,CECOs!A:A,CECOs!C:C,"")="",K361,_xlfn.XLOOKUP(L361,CECOs!A:A,CECOs!C:C,""))</f>
        <v>MACIAS, OSCAR  / SAFFE, JULIAN</v>
      </c>
      <c r="R361" s="17" t="s">
        <v>38</v>
      </c>
      <c r="S361" s="17" t="s">
        <v>45</v>
      </c>
      <c r="T361" s="17"/>
      <c r="U361" s="17" t="s">
        <v>217</v>
      </c>
      <c r="V361" s="17" t="s">
        <v>95</v>
      </c>
      <c r="W361" s="17"/>
      <c r="X361" s="17"/>
      <c r="Y361" s="17"/>
      <c r="Z361" s="17"/>
      <c r="AA361" s="17"/>
      <c r="AB361" s="17" t="s">
        <v>49</v>
      </c>
      <c r="AC361" s="17"/>
      <c r="AD361" s="17" t="s">
        <v>50</v>
      </c>
      <c r="AE361" s="17"/>
      <c r="AF361" s="17"/>
      <c r="AG361" s="17"/>
      <c r="AH361" s="17"/>
      <c r="AI361" s="17"/>
      <c r="AJ361" s="17"/>
      <c r="AK361" s="29"/>
    </row>
    <row r="362" spans="1:37" ht="14.45" customHeight="1">
      <c r="A362" s="29">
        <v>46266</v>
      </c>
      <c r="B362" s="22">
        <v>3418970</v>
      </c>
      <c r="C362" s="17" t="s">
        <v>935</v>
      </c>
      <c r="D362" s="17" t="s">
        <v>38</v>
      </c>
      <c r="E362" s="17" t="s">
        <v>38</v>
      </c>
      <c r="F362" s="17"/>
      <c r="G362" s="17" t="str">
        <f>Table1[[#This Row],[DESCRIPCION_POSICION]]</f>
        <v>Operador Well Services</v>
      </c>
      <c r="H362" s="17" t="s">
        <v>950</v>
      </c>
      <c r="I362" s="17" t="s">
        <v>40</v>
      </c>
      <c r="J362" s="17" t="s">
        <v>68</v>
      </c>
      <c r="K362" s="17" t="s">
        <v>80</v>
      </c>
      <c r="L362" s="36" t="s">
        <v>683</v>
      </c>
      <c r="M362" s="103"/>
      <c r="N362" s="38" t="s">
        <v>951</v>
      </c>
      <c r="O362" s="36" t="str">
        <f>VLOOKUP(L362,CECOs!A:B,2,0)</f>
        <v>Oper Well Services FP</v>
      </c>
      <c r="P362" s="17" t="str">
        <f>VLOOKUP(B:B,CECOs!G:I,3,FALSE)</f>
        <v>WellServices</v>
      </c>
      <c r="Q362" s="17" t="str">
        <f>IF(_xlfn.XLOOKUP(L362,CECOs!A:A,CECOs!C:C,"")="",K362,_xlfn.XLOOKUP(L362,CECOs!A:A,CECOs!C:C,""))</f>
        <v>MACIAS, OSCAR  / SAFFE, JULIAN</v>
      </c>
      <c r="R362" s="17" t="s">
        <v>38</v>
      </c>
      <c r="S362" s="17" t="s">
        <v>45</v>
      </c>
      <c r="T362" s="17"/>
      <c r="U362" s="17" t="s">
        <v>217</v>
      </c>
      <c r="V362" s="17" t="s">
        <v>95</v>
      </c>
      <c r="W362" s="17"/>
      <c r="X362" s="17"/>
      <c r="Y362" s="17"/>
      <c r="Z362" s="17"/>
      <c r="AA362" s="17"/>
      <c r="AB362" s="17" t="s">
        <v>49</v>
      </c>
      <c r="AC362" s="17"/>
      <c r="AD362" s="17" t="s">
        <v>50</v>
      </c>
      <c r="AE362" s="17"/>
      <c r="AF362" s="17"/>
      <c r="AG362" s="17"/>
      <c r="AH362" s="17"/>
      <c r="AI362" s="17"/>
      <c r="AJ362" s="17"/>
      <c r="AK362" s="29"/>
    </row>
    <row r="363" spans="1:37" ht="14.45" customHeight="1">
      <c r="A363" s="29">
        <v>46266</v>
      </c>
      <c r="B363" s="22">
        <v>3418978</v>
      </c>
      <c r="C363" s="17" t="s">
        <v>952</v>
      </c>
      <c r="D363" s="17" t="s">
        <v>38</v>
      </c>
      <c r="E363" s="17" t="s">
        <v>38</v>
      </c>
      <c r="F363" s="17"/>
      <c r="G363" s="17" t="str">
        <f>Table1[[#This Row],[DESCRIPCION_POSICION]]</f>
        <v>Relevo Well Services</v>
      </c>
      <c r="H363" s="17" t="s">
        <v>953</v>
      </c>
      <c r="I363" s="17" t="s">
        <v>40</v>
      </c>
      <c r="J363" s="17" t="s">
        <v>68</v>
      </c>
      <c r="K363" s="17" t="s">
        <v>80</v>
      </c>
      <c r="L363" s="36" t="s">
        <v>683</v>
      </c>
      <c r="M363" s="103"/>
      <c r="N363" s="38" t="s">
        <v>954</v>
      </c>
      <c r="O363" s="36" t="str">
        <f>VLOOKUP(L363,CECOs!A:B,2,0)</f>
        <v>Oper Well Services FP</v>
      </c>
      <c r="P363" s="17" t="str">
        <f>VLOOKUP(B:B,CECOs!G:I,3,FALSE)</f>
        <v>WellServicesDesfogue</v>
      </c>
      <c r="Q363" s="17" t="str">
        <f>IF(_xlfn.XLOOKUP(L363,CECOs!A:A,CECOs!C:C,"")="",K363,_xlfn.XLOOKUP(L363,CECOs!A:A,CECOs!C:C,""))</f>
        <v>MACIAS, OSCAR  / SAFFE, JULIAN</v>
      </c>
      <c r="R363" s="17" t="s">
        <v>38</v>
      </c>
      <c r="S363" s="17" t="s">
        <v>45</v>
      </c>
      <c r="T363" s="17"/>
      <c r="U363" s="17" t="s">
        <v>217</v>
      </c>
      <c r="V363" s="17" t="s">
        <v>95</v>
      </c>
      <c r="W363" s="17"/>
      <c r="X363" s="17"/>
      <c r="Y363" s="17"/>
      <c r="Z363" s="17"/>
      <c r="AA363" s="17"/>
      <c r="AB363" s="17" t="s">
        <v>49</v>
      </c>
      <c r="AC363" s="17"/>
      <c r="AD363" s="17" t="s">
        <v>50</v>
      </c>
      <c r="AE363" s="17"/>
      <c r="AF363" s="17"/>
      <c r="AG363" s="17"/>
      <c r="AH363" s="17"/>
      <c r="AI363" s="17"/>
      <c r="AJ363" s="17"/>
      <c r="AK363" s="29"/>
    </row>
    <row r="364" spans="1:37" ht="14.45" customHeight="1">
      <c r="A364" s="29">
        <v>46266</v>
      </c>
      <c r="B364" s="22">
        <v>3423203</v>
      </c>
      <c r="C364" s="17" t="s">
        <v>776</v>
      </c>
      <c r="D364" s="17" t="s">
        <v>38</v>
      </c>
      <c r="E364" s="17" t="s">
        <v>38</v>
      </c>
      <c r="F364" s="17"/>
      <c r="G364" s="17" t="str">
        <f>Table1[[#This Row],[DESCRIPCION_POSICION]]</f>
        <v>Oficial Mtto Well Services</v>
      </c>
      <c r="H364" s="17" t="s">
        <v>955</v>
      </c>
      <c r="I364" s="17" t="s">
        <v>40</v>
      </c>
      <c r="J364" s="17" t="s">
        <v>68</v>
      </c>
      <c r="K364" s="17" t="s">
        <v>80</v>
      </c>
      <c r="L364" s="36" t="s">
        <v>778</v>
      </c>
      <c r="M364" s="103"/>
      <c r="N364" s="38" t="s">
        <v>956</v>
      </c>
      <c r="O364" s="36" t="str">
        <f>VLOOKUP(L364,CECOs!A:B,2,0)</f>
        <v>Mtto Well Services FP</v>
      </c>
      <c r="P364" s="17" t="str">
        <f>VLOOKUP(B:B,CECOs!G:I,3,FALSE)</f>
        <v>WellServices</v>
      </c>
      <c r="Q364" s="17" t="str">
        <f>IF(_xlfn.XLOOKUP(L364,CECOs!A:A,CECOs!C:C,"")="",K364,_xlfn.XLOOKUP(L364,CECOs!A:A,CECOs!C:C,""))</f>
        <v>MACIAS, OSCAR  / SAFFE, JULIAN</v>
      </c>
      <c r="R364" s="17" t="s">
        <v>38</v>
      </c>
      <c r="S364" s="17" t="s">
        <v>45</v>
      </c>
      <c r="T364" s="17"/>
      <c r="U364" s="17" t="s">
        <v>217</v>
      </c>
      <c r="V364" s="17" t="s">
        <v>95</v>
      </c>
      <c r="W364" s="17"/>
      <c r="X364" s="17"/>
      <c r="Y364" s="17"/>
      <c r="Z364" s="17"/>
      <c r="AA364" s="17"/>
      <c r="AB364" s="17" t="s">
        <v>49</v>
      </c>
      <c r="AC364" s="17"/>
      <c r="AD364" s="17" t="s">
        <v>50</v>
      </c>
      <c r="AE364" s="17"/>
      <c r="AF364" s="17"/>
      <c r="AG364" s="17"/>
      <c r="AH364" s="17"/>
      <c r="AI364" s="17"/>
      <c r="AJ364" s="17"/>
      <c r="AK364" s="29"/>
    </row>
    <row r="365" spans="1:37" ht="9.9499999999999993">
      <c r="A365" s="29">
        <v>46266</v>
      </c>
      <c r="B365" s="22">
        <v>3393013</v>
      </c>
      <c r="C365" s="17" t="s">
        <v>90</v>
      </c>
      <c r="D365" s="17" t="s">
        <v>38</v>
      </c>
      <c r="E365" s="17" t="s">
        <v>38</v>
      </c>
      <c r="F365" s="17"/>
      <c r="G365" s="17" t="str">
        <f>Table1[[#This Row],[DESCRIPCION_POSICION]]</f>
        <v>Oficial Especializado de Oficios</v>
      </c>
      <c r="H365" s="17" t="s">
        <v>957</v>
      </c>
      <c r="I365" s="17" t="s">
        <v>40</v>
      </c>
      <c r="J365" s="17" t="s">
        <v>68</v>
      </c>
      <c r="K365" s="17" t="s">
        <v>73</v>
      </c>
      <c r="L365" s="36" t="s">
        <v>699</v>
      </c>
      <c r="N365" s="38" t="s">
        <v>958</v>
      </c>
      <c r="O365" s="36" t="s">
        <v>959</v>
      </c>
      <c r="P365" s="17" t="str">
        <f>VLOOKUP(B:B,CECOs!G:I,3,FALSE)</f>
        <v>Relevomantenimiento</v>
      </c>
      <c r="Q365" s="17" t="str">
        <f>IF(_xlfn.XLOOKUP(L365,CECOs!A:A,CECOs!C:C,"")="",K365,_xlfn.XLOOKUP(L365,CECOs!A:A,CECOs!C:C,""))</f>
        <v>CORDOVA, DANIELA / ALTAMIRANDA, LEANDRO</v>
      </c>
      <c r="R365" s="17" t="s">
        <v>38</v>
      </c>
      <c r="S365" s="17" t="s">
        <v>45</v>
      </c>
      <c r="T365" s="17"/>
      <c r="U365" s="17" t="s">
        <v>94</v>
      </c>
      <c r="V365" s="17" t="s">
        <v>95</v>
      </c>
      <c r="W365" s="17"/>
      <c r="X365" s="17"/>
      <c r="Y365" s="17"/>
      <c r="Z365" s="17"/>
      <c r="AA365" s="17"/>
      <c r="AB365" s="17" t="s">
        <v>49</v>
      </c>
      <c r="AC365" s="17"/>
      <c r="AD365" s="17" t="s">
        <v>50</v>
      </c>
      <c r="AE365" s="17"/>
      <c r="AF365" s="17"/>
      <c r="AG365" s="17"/>
      <c r="AH365" s="17"/>
      <c r="AI365" s="17"/>
      <c r="AJ365" s="17"/>
      <c r="AK365" s="29"/>
    </row>
    <row r="366" spans="1:37" ht="9.9499999999999993">
      <c r="A366" s="29">
        <v>46266</v>
      </c>
      <c r="B366" s="22">
        <v>3423204</v>
      </c>
      <c r="C366" s="17" t="s">
        <v>776</v>
      </c>
      <c r="D366" s="17" t="s">
        <v>38</v>
      </c>
      <c r="E366" s="17" t="s">
        <v>38</v>
      </c>
      <c r="F366" s="17"/>
      <c r="G366" s="17" t="str">
        <f>Table1[[#This Row],[DESCRIPCION_POSICION]]</f>
        <v>Oficial Mtto Well Services</v>
      </c>
      <c r="H366" s="41" t="s">
        <v>960</v>
      </c>
      <c r="I366" s="17" t="s">
        <v>40</v>
      </c>
      <c r="J366" s="17" t="s">
        <v>68</v>
      </c>
      <c r="K366" s="17" t="s">
        <v>80</v>
      </c>
      <c r="L366" s="36" t="s">
        <v>778</v>
      </c>
      <c r="M366" s="103"/>
      <c r="N366" s="38" t="s">
        <v>961</v>
      </c>
      <c r="O366" s="36" t="str">
        <f>VLOOKUP(L366,CECOs!A:B,2,0)</f>
        <v>Mtto Well Services FP</v>
      </c>
      <c r="P366" s="17" t="str">
        <f>VLOOKUP(B:B,CECOs!G:I,3,FALSE)</f>
        <v>Instrumentista</v>
      </c>
      <c r="Q366" s="17" t="str">
        <f>IF(_xlfn.XLOOKUP(L366,CECOs!A:A,CECOs!C:C,"")="",K366,_xlfn.XLOOKUP(L366,CECOs!A:A,CECOs!C:C,""))</f>
        <v>MACIAS, OSCAR  / SAFFE, JULIAN</v>
      </c>
      <c r="R366" s="17" t="s">
        <v>38</v>
      </c>
      <c r="S366" s="17" t="s">
        <v>45</v>
      </c>
      <c r="T366" s="17"/>
      <c r="U366" s="17" t="s">
        <v>94</v>
      </c>
      <c r="V366" s="17" t="s">
        <v>95</v>
      </c>
      <c r="W366" s="17"/>
      <c r="X366" s="17"/>
      <c r="Y366" s="17"/>
      <c r="Z366" s="17"/>
      <c r="AA366" s="17"/>
      <c r="AB366" s="17" t="s">
        <v>49</v>
      </c>
      <c r="AC366" s="17"/>
      <c r="AD366" s="17" t="s">
        <v>50</v>
      </c>
      <c r="AE366" s="17"/>
      <c r="AF366" s="17"/>
      <c r="AG366" s="17"/>
      <c r="AH366" s="17"/>
      <c r="AI366" s="17"/>
      <c r="AJ366" s="17"/>
      <c r="AK366" s="29"/>
    </row>
    <row r="367" spans="1:37" ht="9.9499999999999993">
      <c r="A367" s="29">
        <v>46266</v>
      </c>
      <c r="B367" s="22">
        <v>3423205</v>
      </c>
      <c r="C367" s="17" t="s">
        <v>776</v>
      </c>
      <c r="D367" s="17" t="s">
        <v>38</v>
      </c>
      <c r="E367" s="17" t="s">
        <v>38</v>
      </c>
      <c r="F367" s="17"/>
      <c r="G367" s="17" t="str">
        <f>Table1[[#This Row],[DESCRIPCION_POSICION]]</f>
        <v>Oficial Mtto Well Services</v>
      </c>
      <c r="H367" s="17" t="s">
        <v>962</v>
      </c>
      <c r="I367" s="17" t="s">
        <v>40</v>
      </c>
      <c r="J367" s="17" t="s">
        <v>68</v>
      </c>
      <c r="K367" s="17" t="s">
        <v>80</v>
      </c>
      <c r="L367" s="36" t="s">
        <v>778</v>
      </c>
      <c r="M367" s="103"/>
      <c r="N367" s="38" t="s">
        <v>963</v>
      </c>
      <c r="O367" s="36" t="str">
        <f>VLOOKUP(L367,CECOs!A:B,2,0)</f>
        <v>Mtto Well Services FP</v>
      </c>
      <c r="P367" s="17" t="str">
        <f>VLOOKUP(B:B,CECOs!G:I,3,FALSE)</f>
        <v>WellServices</v>
      </c>
      <c r="Q367" s="17" t="str">
        <f>IF(_xlfn.XLOOKUP(L367,CECOs!A:A,CECOs!C:C,"")="",K367,_xlfn.XLOOKUP(L367,CECOs!A:A,CECOs!C:C,""))</f>
        <v>MACIAS, OSCAR  / SAFFE, JULIAN</v>
      </c>
      <c r="R367" s="17" t="s">
        <v>38</v>
      </c>
      <c r="S367" s="17" t="s">
        <v>45</v>
      </c>
      <c r="T367" s="17"/>
      <c r="U367" s="17" t="s">
        <v>217</v>
      </c>
      <c r="V367" s="17" t="s">
        <v>95</v>
      </c>
      <c r="W367" s="17"/>
      <c r="X367" s="17"/>
      <c r="Y367" s="17"/>
      <c r="Z367" s="17"/>
      <c r="AA367" s="17"/>
      <c r="AB367" s="17" t="s">
        <v>49</v>
      </c>
      <c r="AC367" s="17"/>
      <c r="AD367" s="17" t="s">
        <v>50</v>
      </c>
      <c r="AE367" s="17"/>
      <c r="AF367" s="17"/>
      <c r="AG367" s="17"/>
      <c r="AH367" s="17"/>
      <c r="AI367" s="17"/>
      <c r="AJ367" s="17"/>
      <c r="AK367" s="29"/>
    </row>
    <row r="368" spans="1:37">
      <c r="A368" s="29">
        <v>46266</v>
      </c>
      <c r="B368" s="22">
        <v>3418977</v>
      </c>
      <c r="C368" s="17" t="s">
        <v>291</v>
      </c>
      <c r="D368" s="17" t="s">
        <v>38</v>
      </c>
      <c r="E368" s="17" t="s">
        <v>38</v>
      </c>
      <c r="F368" s="17"/>
      <c r="G368" s="17" t="str">
        <f>Table1[[#This Row],[DESCRIPCION_POSICION]]</f>
        <v>Ingresante sin experiencia</v>
      </c>
      <c r="H368" s="17"/>
      <c r="I368" s="17" t="s">
        <v>40</v>
      </c>
      <c r="J368" s="17" t="s">
        <v>68</v>
      </c>
      <c r="K368" s="17" t="s">
        <v>84</v>
      </c>
      <c r="L368" s="36" t="s">
        <v>500</v>
      </c>
      <c r="M368" s="103"/>
      <c r="N368" s="98" t="s">
        <v>964</v>
      </c>
      <c r="O368" s="36" t="str">
        <f>VLOOKUP(L368,CECOs!A:B,2,0)</f>
        <v>Mtto Mecánico SALA</v>
      </c>
      <c r="P368" s="17" t="e">
        <f>VLOOKUP(B:B,CECOs!G:I,3,FALSE)</f>
        <v>#N/A</v>
      </c>
      <c r="Q368" s="17" t="str">
        <f>IF(_xlfn.XLOOKUP(L368,CECOs!A:A,CECOs!C:C,"")="",K368,_xlfn.XLOOKUP(L368,CECOs!A:A,CECOs!C:C,""))</f>
        <v>BECHARA, LUCAS ANTONIO</v>
      </c>
      <c r="R368" s="17" t="s">
        <v>38</v>
      </c>
      <c r="S368" s="17" t="s">
        <v>45</v>
      </c>
      <c r="T368" s="17"/>
      <c r="U368" s="17" t="s">
        <v>94</v>
      </c>
      <c r="V368" s="17" t="s">
        <v>95</v>
      </c>
      <c r="W368" s="17"/>
      <c r="X368" s="17"/>
      <c r="Y368" s="17"/>
      <c r="Z368" s="17"/>
      <c r="AA368" s="17"/>
      <c r="AB368" s="17" t="s">
        <v>49</v>
      </c>
      <c r="AC368" s="17"/>
      <c r="AD368" s="17" t="s">
        <v>294</v>
      </c>
      <c r="AE368" s="17"/>
      <c r="AF368" s="17"/>
      <c r="AG368" s="17"/>
      <c r="AH368" s="17"/>
      <c r="AI368" s="17"/>
      <c r="AJ368" s="17"/>
      <c r="AK368" s="29"/>
    </row>
    <row r="369" spans="1:37">
      <c r="A369" s="29">
        <v>46266</v>
      </c>
      <c r="B369" s="100">
        <v>3438923</v>
      </c>
      <c r="C369" s="101" t="s">
        <v>965</v>
      </c>
      <c r="D369" s="17" t="s">
        <v>38</v>
      </c>
      <c r="E369" s="17" t="s">
        <v>38</v>
      </c>
      <c r="F369" s="101"/>
      <c r="G369" s="101"/>
      <c r="H369" s="17" t="s">
        <v>966</v>
      </c>
      <c r="I369" s="17" t="s">
        <v>40</v>
      </c>
      <c r="J369" s="17" t="s">
        <v>68</v>
      </c>
      <c r="K369" s="17" t="s">
        <v>84</v>
      </c>
      <c r="L369" s="36" t="s">
        <v>431</v>
      </c>
      <c r="M369" s="110"/>
      <c r="N369" s="42" t="s">
        <v>967</v>
      </c>
      <c r="O369" s="97" t="str">
        <f>VLOOKUP(L369,CECOs!A:B,2,0)</f>
        <v>Oper. PTA SALA</v>
      </c>
      <c r="P369" s="101" t="e">
        <f>VLOOKUP(B:B,CECOs!G:I,3,FALSE)</f>
        <v>#N/A</v>
      </c>
      <c r="Q369" s="101" t="str">
        <f>IF(_xlfn.XLOOKUP(L369,CECOs!A:A,CECOs!C:C,"")="",K369,_xlfn.XLOOKUP(L369,CECOs!A:A,CECOs!C:C,""))</f>
        <v>BECHARA, LUCAS ANTONIO</v>
      </c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99"/>
    </row>
    <row r="370" spans="1:37" ht="9.9499999999999993">
      <c r="A370" s="29">
        <v>46266</v>
      </c>
      <c r="B370" s="22">
        <v>3418976</v>
      </c>
      <c r="C370" s="17" t="s">
        <v>291</v>
      </c>
      <c r="D370" s="17" t="s">
        <v>38</v>
      </c>
      <c r="E370" s="17" t="s">
        <v>38</v>
      </c>
      <c r="F370" s="17"/>
      <c r="G370" s="17" t="str">
        <f>Table1[[#This Row],[DESCRIPCION_POSICION]]</f>
        <v>Ingresante sin experiencia</v>
      </c>
      <c r="H370" s="49"/>
      <c r="I370" s="17" t="s">
        <v>40</v>
      </c>
      <c r="J370" s="17" t="s">
        <v>68</v>
      </c>
      <c r="K370" s="17" t="s">
        <v>84</v>
      </c>
      <c r="L370" s="36" t="s">
        <v>412</v>
      </c>
      <c r="M370" s="103"/>
      <c r="N370" s="79" t="s">
        <v>968</v>
      </c>
      <c r="O370" s="36" t="str">
        <f>VLOOKUP(L370,CECOs!A:B,2,0)</f>
        <v>Mtto Mecánico LBAS</v>
      </c>
      <c r="P370" s="17" t="e">
        <f>VLOOKUP(B:B,CECOs!G:I,3,FALSE)</f>
        <v>#N/A</v>
      </c>
      <c r="Q370" s="17" t="str">
        <f>IF(_xlfn.XLOOKUP(L370,CECOs!A:A,CECOs!C:C,"")="",K370,_xlfn.XLOOKUP(L370,CECOs!A:A,CECOs!C:C,""))</f>
        <v>BECHARA, LUCAS ANTONIO</v>
      </c>
      <c r="R370" s="17" t="s">
        <v>38</v>
      </c>
      <c r="S370" s="17" t="s">
        <v>45</v>
      </c>
      <c r="T370" s="17"/>
      <c r="U370" s="17" t="s">
        <v>94</v>
      </c>
      <c r="V370" s="17" t="s">
        <v>95</v>
      </c>
      <c r="W370" s="17"/>
      <c r="X370" s="17"/>
      <c r="Y370" s="17"/>
      <c r="Z370" s="17"/>
      <c r="AA370" s="17"/>
      <c r="AB370" s="17" t="s">
        <v>49</v>
      </c>
      <c r="AC370" s="17"/>
      <c r="AD370" s="17" t="s">
        <v>294</v>
      </c>
      <c r="AE370" s="17"/>
      <c r="AF370" s="17"/>
      <c r="AG370" s="17"/>
      <c r="AH370" s="17"/>
      <c r="AI370" s="17"/>
      <c r="AJ370" s="17"/>
      <c r="AK370" s="29"/>
    </row>
    <row r="371" spans="1:37" ht="9.9499999999999993">
      <c r="A371" s="29">
        <v>46266</v>
      </c>
      <c r="B371" s="22">
        <v>3418961</v>
      </c>
      <c r="C371" s="17" t="s">
        <v>291</v>
      </c>
      <c r="D371" s="17" t="s">
        <v>38</v>
      </c>
      <c r="E371" s="17" t="s">
        <v>38</v>
      </c>
      <c r="F371" s="17"/>
      <c r="G371" s="17" t="str">
        <f>Table1[[#This Row],[DESCRIPCION_POSICION]]</f>
        <v>Ingresante sin experiencia</v>
      </c>
      <c r="H371" s="17" t="s">
        <v>969</v>
      </c>
      <c r="I371" s="17" t="s">
        <v>40</v>
      </c>
      <c r="J371" s="17" t="s">
        <v>68</v>
      </c>
      <c r="K371" s="17" t="s">
        <v>832</v>
      </c>
      <c r="L371" s="36" t="s">
        <v>854</v>
      </c>
      <c r="M371" s="103"/>
      <c r="N371" s="88" t="s">
        <v>970</v>
      </c>
      <c r="O371" s="36" t="str">
        <f>VLOOKUP(L371,CECOs!A:B,2,0)</f>
        <v>Aux. Almacén LT2E</v>
      </c>
      <c r="P371" s="17" t="str">
        <f>VLOOKUP(B:B,CECOs!G:I,3,FALSE)</f>
        <v>AlmacenNoconvencional</v>
      </c>
      <c r="Q371" s="17" t="str">
        <f>IF(_xlfn.XLOOKUP(L371,CECOs!A:A,CECOs!C:C,"")="",K371,_xlfn.XLOOKUP(L371,CECOs!A:A,CECOs!C:C,""))</f>
        <v>MERCADO, MAURICIO / FREDES, RUBEN</v>
      </c>
      <c r="R371" s="17" t="s">
        <v>38</v>
      </c>
      <c r="S371" s="17" t="s">
        <v>45</v>
      </c>
      <c r="T371" s="17"/>
      <c r="U371" s="17" t="s">
        <v>371</v>
      </c>
      <c r="V371" s="17" t="s">
        <v>95</v>
      </c>
      <c r="W371" s="17"/>
      <c r="X371" s="17"/>
      <c r="Y371" s="17"/>
      <c r="Z371" s="17"/>
      <c r="AA371" s="17"/>
      <c r="AB371" s="17" t="s">
        <v>49</v>
      </c>
      <c r="AC371" s="17"/>
      <c r="AD371" s="17" t="s">
        <v>50</v>
      </c>
      <c r="AE371" s="17"/>
      <c r="AF371" s="17"/>
      <c r="AG371" s="17"/>
      <c r="AH371" s="17"/>
      <c r="AI371" s="17"/>
      <c r="AJ371" s="17"/>
      <c r="AK371" s="29"/>
    </row>
    <row r="372" spans="1:37" ht="9.9499999999999993">
      <c r="A372" s="29">
        <v>46266</v>
      </c>
      <c r="B372" s="22">
        <v>3418974</v>
      </c>
      <c r="C372" s="17" t="s">
        <v>971</v>
      </c>
      <c r="D372" s="17" t="s">
        <v>38</v>
      </c>
      <c r="E372" s="17" t="s">
        <v>38</v>
      </c>
      <c r="F372" s="17"/>
      <c r="G372" s="17" t="str">
        <f>Table1[[#This Row],[DESCRIPCION_POSICION]]</f>
        <v>Ayudante de Oficio</v>
      </c>
      <c r="H372" s="49"/>
      <c r="I372" s="17" t="s">
        <v>40</v>
      </c>
      <c r="J372" s="17" t="s">
        <v>68</v>
      </c>
      <c r="K372" s="17" t="s">
        <v>73</v>
      </c>
      <c r="L372" s="36" t="s">
        <v>92</v>
      </c>
      <c r="M372" s="103"/>
      <c r="N372" s="83" t="s">
        <v>972</v>
      </c>
      <c r="O372" s="36" t="str">
        <f>VLOOKUP(L372,CECOs!A:B,2,0)</f>
        <v>Mtto Mecánico FP</v>
      </c>
      <c r="P372" s="17" t="e">
        <f>VLOOKUP(B:B,CECOs!G:I,3,FALSE)</f>
        <v>#N/A</v>
      </c>
      <c r="Q372" s="17" t="str">
        <f>IF(_xlfn.XLOOKUP(L372,CECOs!A:A,CECOs!C:C,"")="",K372,_xlfn.XLOOKUP(L372,CECOs!A:A,CECOs!C:C,""))</f>
        <v>CORDOVA, DANIELA / ALTAMIRANDA, LEANDRO</v>
      </c>
      <c r="R372" s="17" t="s">
        <v>38</v>
      </c>
      <c r="S372" s="17" t="s">
        <v>45</v>
      </c>
      <c r="T372" s="17"/>
      <c r="U372" s="17" t="s">
        <v>94</v>
      </c>
      <c r="V372" s="17" t="s">
        <v>95</v>
      </c>
      <c r="W372" s="17"/>
      <c r="X372" s="17"/>
      <c r="Y372" s="17"/>
      <c r="Z372" s="17"/>
      <c r="AA372" s="17"/>
      <c r="AB372" s="17" t="s">
        <v>49</v>
      </c>
      <c r="AC372" s="17"/>
      <c r="AD372" s="17" t="s">
        <v>294</v>
      </c>
      <c r="AE372" s="17"/>
      <c r="AF372" s="17"/>
      <c r="AG372" s="17"/>
      <c r="AH372" s="17"/>
      <c r="AI372" s="17"/>
      <c r="AJ372" s="17"/>
      <c r="AK372" s="29"/>
    </row>
    <row r="373" spans="1:37" ht="9.9499999999999993">
      <c r="A373" s="29">
        <v>46266</v>
      </c>
      <c r="B373" s="22">
        <v>3418973</v>
      </c>
      <c r="C373" s="17" t="s">
        <v>291</v>
      </c>
      <c r="D373" s="17" t="s">
        <v>38</v>
      </c>
      <c r="E373" s="17" t="s">
        <v>38</v>
      </c>
      <c r="F373" s="17"/>
      <c r="G373" s="17" t="str">
        <f>Table1[[#This Row],[DESCRIPCION_POSICION]]</f>
        <v>Ingresante sin experiencia</v>
      </c>
      <c r="H373" s="49"/>
      <c r="I373" s="17" t="s">
        <v>40</v>
      </c>
      <c r="J373" s="17" t="s">
        <v>68</v>
      </c>
      <c r="K373" s="17" t="s">
        <v>73</v>
      </c>
      <c r="L373" s="36" t="s">
        <v>521</v>
      </c>
      <c r="M373" s="103"/>
      <c r="N373" s="79" t="s">
        <v>973</v>
      </c>
      <c r="O373" s="36" t="str">
        <f>VLOOKUP(L373,CECOs!A:B,2,0)</f>
        <v>Oper. LTS FP</v>
      </c>
      <c r="P373" s="17" t="e">
        <f>VLOOKUP(B:B,CECOs!G:I,3,FALSE)</f>
        <v>#N/A</v>
      </c>
      <c r="Q373" s="17" t="str">
        <f>IF(_xlfn.XLOOKUP(L373,CECOs!A:A,CECOs!C:C,"")="",K373,_xlfn.XLOOKUP(L373,CECOs!A:A,CECOs!C:C,""))</f>
        <v>HUARTE, ESTEBAN</v>
      </c>
      <c r="R373" s="17" t="s">
        <v>38</v>
      </c>
      <c r="S373" s="17" t="s">
        <v>45</v>
      </c>
      <c r="T373" s="17"/>
      <c r="U373" s="17" t="s">
        <v>94</v>
      </c>
      <c r="V373" s="17" t="s">
        <v>95</v>
      </c>
      <c r="W373" s="17"/>
      <c r="X373" s="17"/>
      <c r="Y373" s="17"/>
      <c r="Z373" s="17"/>
      <c r="AA373" s="17"/>
      <c r="AB373" s="17" t="s">
        <v>49</v>
      </c>
      <c r="AC373" s="17"/>
      <c r="AD373" s="17" t="s">
        <v>294</v>
      </c>
      <c r="AE373" s="17"/>
      <c r="AF373" s="17"/>
      <c r="AG373" s="17"/>
      <c r="AH373" s="17"/>
      <c r="AI373" s="17"/>
      <c r="AJ373" s="17"/>
      <c r="AK373" s="29"/>
    </row>
    <row r="374" spans="1:37" ht="9.9499999999999993">
      <c r="A374" s="29">
        <v>46266</v>
      </c>
      <c r="B374" s="22">
        <v>3418972</v>
      </c>
      <c r="C374" s="17" t="s">
        <v>928</v>
      </c>
      <c r="D374" s="17" t="s">
        <v>38</v>
      </c>
      <c r="E374" s="17" t="s">
        <v>38</v>
      </c>
      <c r="F374" s="17"/>
      <c r="G374" s="17" t="str">
        <f>Table1[[#This Row],[DESCRIPCION_POSICION]]</f>
        <v>Trainee Plantas</v>
      </c>
      <c r="H374" s="40" t="s">
        <v>974</v>
      </c>
      <c r="I374" s="17" t="s">
        <v>40</v>
      </c>
      <c r="J374" s="17" t="s">
        <v>68</v>
      </c>
      <c r="K374" s="17" t="s">
        <v>86</v>
      </c>
      <c r="L374" s="36" t="s">
        <v>521</v>
      </c>
      <c r="M374" s="103"/>
      <c r="N374" s="38" t="s">
        <v>975</v>
      </c>
      <c r="O374" s="36" t="str">
        <f>VLOOKUP(L374,CECOs!A:B,2,0)</f>
        <v>Oper. LTS FP</v>
      </c>
      <c r="P374" s="17" t="str">
        <f>VLOOKUP(B:B,CECOs!G:I,3,FALSE)</f>
        <v>OperadordePlantadeAguaCPF</v>
      </c>
      <c r="Q374" s="17" t="str">
        <f>IF(_xlfn.XLOOKUP(L374,CECOs!A:A,CECOs!C:C,"")="",K374,_xlfn.XLOOKUP(L374,CECOs!A:A,CECOs!C:C,""))</f>
        <v>HUARTE, ESTEBAN</v>
      </c>
      <c r="R374" s="17" t="s">
        <v>38</v>
      </c>
      <c r="S374" s="17" t="s">
        <v>45</v>
      </c>
      <c r="T374" s="17"/>
      <c r="U374" s="17" t="s">
        <v>94</v>
      </c>
      <c r="V374" s="17" t="s">
        <v>95</v>
      </c>
      <c r="W374" s="17"/>
      <c r="X374" s="17"/>
      <c r="Y374" s="17"/>
      <c r="Z374" s="17"/>
      <c r="AA374" s="17"/>
      <c r="AB374" s="17" t="s">
        <v>49</v>
      </c>
      <c r="AC374" s="17"/>
      <c r="AD374" s="17" t="s">
        <v>50</v>
      </c>
      <c r="AE374" s="17"/>
      <c r="AF374" s="17"/>
      <c r="AG374" s="17"/>
      <c r="AH374" s="17"/>
      <c r="AI374" s="17"/>
      <c r="AJ374" s="17"/>
      <c r="AK374" s="29"/>
    </row>
    <row r="375" spans="1:37" ht="9.9499999999999993">
      <c r="A375" s="29">
        <v>46266</v>
      </c>
      <c r="B375" s="22">
        <v>3424468</v>
      </c>
      <c r="C375" s="17" t="s">
        <v>976</v>
      </c>
      <c r="D375" s="17" t="s">
        <v>38</v>
      </c>
      <c r="E375" s="17" t="s">
        <v>38</v>
      </c>
      <c r="F375" s="17"/>
      <c r="G375" s="17" t="str">
        <f>Table1[[#This Row],[DESCRIPCION_POSICION]]</f>
        <v>Ayudante de oficio</v>
      </c>
      <c r="H375" s="17" t="s">
        <v>977</v>
      </c>
      <c r="I375" s="17" t="s">
        <v>40</v>
      </c>
      <c r="J375" s="17" t="s">
        <v>68</v>
      </c>
      <c r="K375" s="17" t="s">
        <v>86</v>
      </c>
      <c r="L375" s="36" t="s">
        <v>978</v>
      </c>
      <c r="M375" s="103"/>
      <c r="N375" s="38" t="s">
        <v>979</v>
      </c>
      <c r="O375" s="36" t="str">
        <f>VLOOKUP(L375,CECOs!A:B,2,0)</f>
        <v>Montaje y Soldadura FP</v>
      </c>
      <c r="P375" s="17" t="str">
        <f>VLOOKUP(B:B,CECOs!G:I,3,FALSE)</f>
        <v>OperadordeCampo</v>
      </c>
      <c r="Q375" s="17" t="str">
        <f>IF(_xlfn.XLOOKUP(L375,CECOs!A:A,CECOs!C:C,"")="",K375,_xlfn.XLOOKUP(L375,CECOs!A:A,CECOs!C:C,""))</f>
        <v>CASAL, GUSTAVO</v>
      </c>
      <c r="R375" s="17" t="s">
        <v>38</v>
      </c>
      <c r="S375" s="17" t="s">
        <v>45</v>
      </c>
      <c r="T375" s="17"/>
      <c r="U375" s="17" t="s">
        <v>306</v>
      </c>
      <c r="V375" s="17" t="s">
        <v>95</v>
      </c>
      <c r="W375" s="17"/>
      <c r="X375" s="17"/>
      <c r="Y375" s="17"/>
      <c r="Z375" s="17"/>
      <c r="AA375" s="17"/>
      <c r="AB375" s="17" t="s">
        <v>49</v>
      </c>
      <c r="AC375" s="17"/>
      <c r="AD375" s="17" t="s">
        <v>50</v>
      </c>
      <c r="AE375" s="17"/>
      <c r="AF375" s="17"/>
      <c r="AG375" s="17"/>
      <c r="AH375" s="17"/>
      <c r="AI375" s="17"/>
      <c r="AJ375" s="17"/>
      <c r="AK375" s="29"/>
    </row>
    <row r="376" spans="1:37" ht="9.9499999999999993">
      <c r="A376" s="29">
        <v>46266</v>
      </c>
      <c r="B376" s="22">
        <v>3424469</v>
      </c>
      <c r="C376" s="17" t="s">
        <v>976</v>
      </c>
      <c r="D376" s="17" t="s">
        <v>38</v>
      </c>
      <c r="E376" s="17" t="s">
        <v>38</v>
      </c>
      <c r="F376" s="17"/>
      <c r="G376" s="17" t="str">
        <f>Table1[[#This Row],[DESCRIPCION_POSICION]]</f>
        <v>Ayudante de oficio</v>
      </c>
      <c r="H376" s="17" t="s">
        <v>980</v>
      </c>
      <c r="I376" s="17" t="s">
        <v>40</v>
      </c>
      <c r="J376" s="17" t="s">
        <v>68</v>
      </c>
      <c r="K376" s="17" t="s">
        <v>86</v>
      </c>
      <c r="L376" s="36" t="s">
        <v>978</v>
      </c>
      <c r="M376" s="103"/>
      <c r="N376" s="38" t="s">
        <v>981</v>
      </c>
      <c r="O376" s="36" t="str">
        <f>VLOOKUP(L376,CECOs!A:B,2,0)</f>
        <v>Montaje y Soldadura FP</v>
      </c>
      <c r="P376" s="17" t="str">
        <f>VLOOKUP(B:B,CECOs!G:I,3,FALSE)</f>
        <v>OperadordeCampo</v>
      </c>
      <c r="Q376" s="17" t="str">
        <f>IF(_xlfn.XLOOKUP(L376,CECOs!A:A,CECOs!C:C,"")="",K376,_xlfn.XLOOKUP(L376,CECOs!A:A,CECOs!C:C,""))</f>
        <v>CASAL, GUSTAVO</v>
      </c>
      <c r="R376" s="17" t="s">
        <v>38</v>
      </c>
      <c r="S376" s="17" t="s">
        <v>45</v>
      </c>
      <c r="T376" s="17"/>
      <c r="U376" s="17" t="s">
        <v>306</v>
      </c>
      <c r="V376" s="17" t="s">
        <v>95</v>
      </c>
      <c r="W376" s="17"/>
      <c r="X376" s="17"/>
      <c r="Y376" s="17"/>
      <c r="Z376" s="17"/>
      <c r="AA376" s="17"/>
      <c r="AB376" s="17" t="s">
        <v>49</v>
      </c>
      <c r="AC376" s="17"/>
      <c r="AD376" s="17" t="s">
        <v>50</v>
      </c>
      <c r="AE376" s="17"/>
      <c r="AF376" s="17"/>
      <c r="AG376" s="17"/>
      <c r="AH376" s="17"/>
      <c r="AI376" s="17"/>
      <c r="AJ376" s="17"/>
      <c r="AK376" s="29"/>
    </row>
    <row r="377" spans="1:37" ht="9.9499999999999993">
      <c r="A377" s="29">
        <v>46266</v>
      </c>
      <c r="B377" s="22">
        <v>3424470</v>
      </c>
      <c r="C377" s="17" t="s">
        <v>976</v>
      </c>
      <c r="D377" s="17" t="s">
        <v>38</v>
      </c>
      <c r="E377" s="17" t="s">
        <v>38</v>
      </c>
      <c r="F377" s="17"/>
      <c r="G377" s="17" t="str">
        <f>Table1[[#This Row],[DESCRIPCION_POSICION]]</f>
        <v>Ayudante de oficio</v>
      </c>
      <c r="H377" s="17" t="s">
        <v>982</v>
      </c>
      <c r="I377" s="17" t="s">
        <v>40</v>
      </c>
      <c r="J377" s="17" t="s">
        <v>68</v>
      </c>
      <c r="K377" s="17" t="s">
        <v>86</v>
      </c>
      <c r="L377" s="36" t="s">
        <v>978</v>
      </c>
      <c r="M377" s="103"/>
      <c r="N377" s="38" t="s">
        <v>983</v>
      </c>
      <c r="O377" s="36" t="str">
        <f>VLOOKUP(L377,CECOs!A:B,2,0)</f>
        <v>Montaje y Soldadura FP</v>
      </c>
      <c r="P377" s="17" t="str">
        <f>VLOOKUP(B:B,CECOs!G:I,3,FALSE)</f>
        <v>OperadordeCampo</v>
      </c>
      <c r="Q377" s="17" t="str">
        <f>IF(_xlfn.XLOOKUP(L377,CECOs!A:A,CECOs!C:C,"")="",K377,_xlfn.XLOOKUP(L377,CECOs!A:A,CECOs!C:C,""))</f>
        <v>CASAL, GUSTAVO</v>
      </c>
      <c r="R377" s="17" t="s">
        <v>38</v>
      </c>
      <c r="S377" s="17" t="s">
        <v>45</v>
      </c>
      <c r="T377" s="17"/>
      <c r="U377" s="17" t="s">
        <v>306</v>
      </c>
      <c r="V377" s="17" t="s">
        <v>95</v>
      </c>
      <c r="W377" s="17"/>
      <c r="X377" s="17"/>
      <c r="Y377" s="17"/>
      <c r="Z377" s="17"/>
      <c r="AA377" s="17"/>
      <c r="AB377" s="17" t="s">
        <v>49</v>
      </c>
      <c r="AC377" s="17"/>
      <c r="AD377" s="17" t="s">
        <v>50</v>
      </c>
      <c r="AE377" s="17"/>
      <c r="AF377" s="17"/>
      <c r="AG377" s="17"/>
      <c r="AH377" s="17"/>
      <c r="AI377" s="17"/>
      <c r="AJ377" s="17"/>
      <c r="AK377" s="29"/>
    </row>
    <row r="378" spans="1:37" ht="9.9499999999999993">
      <c r="A378" s="29">
        <v>46266</v>
      </c>
      <c r="B378" s="22">
        <v>3424471</v>
      </c>
      <c r="C378" s="17" t="s">
        <v>976</v>
      </c>
      <c r="D378" s="17" t="s">
        <v>38</v>
      </c>
      <c r="E378" s="17" t="s">
        <v>38</v>
      </c>
      <c r="F378" s="17"/>
      <c r="G378" s="17" t="str">
        <f>Table1[[#This Row],[DESCRIPCION_POSICION]]</f>
        <v>Ayudante de oficio</v>
      </c>
      <c r="H378" s="17" t="s">
        <v>984</v>
      </c>
      <c r="I378" s="17" t="s">
        <v>40</v>
      </c>
      <c r="J378" s="17" t="s">
        <v>68</v>
      </c>
      <c r="K378" s="17" t="s">
        <v>86</v>
      </c>
      <c r="L378" s="36" t="s">
        <v>978</v>
      </c>
      <c r="M378" s="103"/>
      <c r="N378" s="38" t="s">
        <v>985</v>
      </c>
      <c r="O378" s="36" t="str">
        <f>VLOOKUP(L378,CECOs!A:B,2,0)</f>
        <v>Montaje y Soldadura FP</v>
      </c>
      <c r="P378" s="17" t="str">
        <f>VLOOKUP(B:B,CECOs!G:I,3,FALSE)</f>
        <v>OperadordeCampo</v>
      </c>
      <c r="Q378" s="17" t="str">
        <f>IF(_xlfn.XLOOKUP(L378,CECOs!A:A,CECOs!C:C,"")="",K378,_xlfn.XLOOKUP(L378,CECOs!A:A,CECOs!C:C,""))</f>
        <v>CASAL, GUSTAVO</v>
      </c>
      <c r="R378" s="17" t="s">
        <v>38</v>
      </c>
      <c r="S378" s="17" t="s">
        <v>45</v>
      </c>
      <c r="T378" s="17"/>
      <c r="U378" s="17" t="s">
        <v>306</v>
      </c>
      <c r="V378" s="17" t="s">
        <v>95</v>
      </c>
      <c r="W378" s="17"/>
      <c r="X378" s="17"/>
      <c r="Y378" s="17"/>
      <c r="Z378" s="17"/>
      <c r="AA378" s="17"/>
      <c r="AB378" s="17" t="s">
        <v>49</v>
      </c>
      <c r="AC378" s="17"/>
      <c r="AD378" s="17" t="s">
        <v>50</v>
      </c>
      <c r="AE378" s="17"/>
      <c r="AF378" s="17"/>
      <c r="AG378" s="17"/>
      <c r="AH378" s="17"/>
      <c r="AI378" s="17"/>
      <c r="AJ378" s="17"/>
      <c r="AK378" s="29"/>
    </row>
    <row r="379" spans="1:37" ht="9.9499999999999993">
      <c r="A379" s="29">
        <v>46266</v>
      </c>
      <c r="B379" s="22">
        <v>3424472</v>
      </c>
      <c r="C379" s="17" t="s">
        <v>976</v>
      </c>
      <c r="D379" s="17" t="s">
        <v>38</v>
      </c>
      <c r="E379" s="17" t="s">
        <v>38</v>
      </c>
      <c r="F379" s="17"/>
      <c r="G379" s="17" t="str">
        <f>Table1[[#This Row],[DESCRIPCION_POSICION]]</f>
        <v>Ayudante de oficio</v>
      </c>
      <c r="H379" s="17" t="s">
        <v>986</v>
      </c>
      <c r="I379" s="17" t="s">
        <v>40</v>
      </c>
      <c r="J379" s="17" t="s">
        <v>68</v>
      </c>
      <c r="K379" s="17" t="s">
        <v>86</v>
      </c>
      <c r="L379" s="36" t="s">
        <v>978</v>
      </c>
      <c r="M379" s="103"/>
      <c r="N379" s="38" t="s">
        <v>987</v>
      </c>
      <c r="O379" s="36" t="str">
        <f>VLOOKUP(L379,CECOs!A:B,2,0)</f>
        <v>Montaje y Soldadura FP</v>
      </c>
      <c r="P379" s="17" t="str">
        <f>VLOOKUP(B:B,CECOs!G:I,3,FALSE)</f>
        <v>OperadordeCampo</v>
      </c>
      <c r="Q379" s="17" t="str">
        <f>IF(_xlfn.XLOOKUP(L379,CECOs!A:A,CECOs!C:C,"")="",K379,_xlfn.XLOOKUP(L379,CECOs!A:A,CECOs!C:C,""))</f>
        <v>CASAL, GUSTAVO</v>
      </c>
      <c r="R379" s="17" t="s">
        <v>38</v>
      </c>
      <c r="S379" s="17" t="s">
        <v>45</v>
      </c>
      <c r="T379" s="17"/>
      <c r="U379" s="17" t="s">
        <v>306</v>
      </c>
      <c r="V379" s="17" t="s">
        <v>95</v>
      </c>
      <c r="W379" s="17"/>
      <c r="X379" s="17"/>
      <c r="Y379" s="17"/>
      <c r="Z379" s="17"/>
      <c r="AA379" s="17"/>
      <c r="AB379" s="17" t="s">
        <v>49</v>
      </c>
      <c r="AC379" s="17"/>
      <c r="AD379" s="17" t="s">
        <v>50</v>
      </c>
      <c r="AE379" s="17"/>
      <c r="AF379" s="17"/>
      <c r="AG379" s="17"/>
      <c r="AH379" s="17"/>
      <c r="AI379" s="17"/>
      <c r="AJ379" s="17"/>
      <c r="AK379" s="29"/>
    </row>
    <row r="380" spans="1:37" ht="9.9499999999999993">
      <c r="A380" s="29">
        <v>46266</v>
      </c>
      <c r="B380" s="22">
        <v>3424473</v>
      </c>
      <c r="C380" s="17" t="s">
        <v>976</v>
      </c>
      <c r="D380" s="17" t="s">
        <v>38</v>
      </c>
      <c r="E380" s="17" t="s">
        <v>38</v>
      </c>
      <c r="F380" s="17"/>
      <c r="G380" s="17" t="str">
        <f>Table1[[#This Row],[DESCRIPCION_POSICION]]</f>
        <v>Ayudante de oficio</v>
      </c>
      <c r="H380" s="17" t="s">
        <v>988</v>
      </c>
      <c r="I380" s="17" t="s">
        <v>40</v>
      </c>
      <c r="J380" s="17" t="s">
        <v>68</v>
      </c>
      <c r="K380" s="17" t="s">
        <v>86</v>
      </c>
      <c r="L380" s="36" t="s">
        <v>978</v>
      </c>
      <c r="M380" s="103"/>
      <c r="N380" s="38" t="s">
        <v>989</v>
      </c>
      <c r="O380" s="36" t="str">
        <f>VLOOKUP(L380,CECOs!A:B,2,0)</f>
        <v>Montaje y Soldadura FP</v>
      </c>
      <c r="P380" s="17" t="str">
        <f>VLOOKUP(B:B,CECOs!G:I,3,FALSE)</f>
        <v>OperadordeCampo</v>
      </c>
      <c r="Q380" s="17" t="str">
        <f>IF(_xlfn.XLOOKUP(L380,CECOs!A:A,CECOs!C:C,"")="",K380,_xlfn.XLOOKUP(L380,CECOs!A:A,CECOs!C:C,""))</f>
        <v>CASAL, GUSTAVO</v>
      </c>
      <c r="R380" s="17" t="s">
        <v>38</v>
      </c>
      <c r="S380" s="17" t="s">
        <v>45</v>
      </c>
      <c r="T380" s="17"/>
      <c r="U380" s="17" t="s">
        <v>306</v>
      </c>
      <c r="V380" s="17" t="s">
        <v>95</v>
      </c>
      <c r="W380" s="17"/>
      <c r="X380" s="17"/>
      <c r="Y380" s="17"/>
      <c r="Z380" s="17"/>
      <c r="AA380" s="17"/>
      <c r="AB380" s="17" t="s">
        <v>49</v>
      </c>
      <c r="AC380" s="17"/>
      <c r="AD380" s="17" t="s">
        <v>50</v>
      </c>
      <c r="AE380" s="17"/>
      <c r="AF380" s="17"/>
      <c r="AG380" s="17"/>
      <c r="AH380" s="17"/>
      <c r="AI380" s="17"/>
      <c r="AJ380" s="17"/>
      <c r="AK380" s="29"/>
    </row>
    <row r="381" spans="1:37" ht="9.9499999999999993">
      <c r="A381" s="29">
        <v>46266</v>
      </c>
      <c r="B381" s="22">
        <v>3424474</v>
      </c>
      <c r="C381" s="17" t="s">
        <v>976</v>
      </c>
      <c r="D381" s="17" t="s">
        <v>38</v>
      </c>
      <c r="E381" s="17" t="s">
        <v>38</v>
      </c>
      <c r="F381" s="17"/>
      <c r="G381" s="17" t="str">
        <f>Table1[[#This Row],[DESCRIPCION_POSICION]]</f>
        <v>Ayudante de oficio</v>
      </c>
      <c r="H381" s="17" t="s">
        <v>990</v>
      </c>
      <c r="I381" s="17" t="s">
        <v>40</v>
      </c>
      <c r="J381" s="17" t="s">
        <v>68</v>
      </c>
      <c r="K381" s="17" t="s">
        <v>86</v>
      </c>
      <c r="L381" s="36" t="s">
        <v>978</v>
      </c>
      <c r="M381" s="103"/>
      <c r="N381" s="38" t="s">
        <v>991</v>
      </c>
      <c r="O381" s="36" t="str">
        <f>VLOOKUP(L381,CECOs!A:B,2,0)</f>
        <v>Montaje y Soldadura FP</v>
      </c>
      <c r="P381" s="17" t="str">
        <f>VLOOKUP(B:B,CECOs!G:I,3,FALSE)</f>
        <v>OperadordeCampo</v>
      </c>
      <c r="Q381" s="17" t="str">
        <f>IF(_xlfn.XLOOKUP(L381,CECOs!A:A,CECOs!C:C,"")="",K381,_xlfn.XLOOKUP(L381,CECOs!A:A,CECOs!C:C,""))</f>
        <v>CASAL, GUSTAVO</v>
      </c>
      <c r="R381" s="17" t="s">
        <v>38</v>
      </c>
      <c r="S381" s="17" t="s">
        <v>45</v>
      </c>
      <c r="T381" s="17"/>
      <c r="U381" s="17" t="s">
        <v>306</v>
      </c>
      <c r="V381" s="17" t="s">
        <v>95</v>
      </c>
      <c r="W381" s="17"/>
      <c r="X381" s="17"/>
      <c r="Y381" s="17"/>
      <c r="Z381" s="17"/>
      <c r="AA381" s="17"/>
      <c r="AB381" s="17" t="s">
        <v>49</v>
      </c>
      <c r="AC381" s="17"/>
      <c r="AD381" s="17" t="s">
        <v>50</v>
      </c>
      <c r="AE381" s="17"/>
      <c r="AF381" s="17"/>
      <c r="AG381" s="17"/>
      <c r="AH381" s="17"/>
      <c r="AI381" s="17"/>
      <c r="AJ381" s="17"/>
      <c r="AK381" s="29"/>
    </row>
    <row r="382" spans="1:37" ht="9.9499999999999993">
      <c r="A382" s="29">
        <v>46266</v>
      </c>
      <c r="B382" s="22">
        <v>3437944</v>
      </c>
      <c r="C382" s="17" t="s">
        <v>90</v>
      </c>
      <c r="D382" s="17" t="s">
        <v>38</v>
      </c>
      <c r="E382" s="17" t="s">
        <v>38</v>
      </c>
      <c r="F382" s="17"/>
      <c r="G382" s="17" t="str">
        <f>Table1[[#This Row],[DESCRIPCION_POSICION]]</f>
        <v>Oficial Especializado de Oficios</v>
      </c>
      <c r="H382" s="17" t="s">
        <v>992</v>
      </c>
      <c r="I382" s="17" t="s">
        <v>40</v>
      </c>
      <c r="J382" s="17" t="s">
        <v>68</v>
      </c>
      <c r="K382" s="17" t="s">
        <v>86</v>
      </c>
      <c r="L382" s="36" t="s">
        <v>978</v>
      </c>
      <c r="M382" s="103"/>
      <c r="N382" s="38" t="s">
        <v>993</v>
      </c>
      <c r="O382" s="36" t="str">
        <f>VLOOKUP(L382,CECOs!A:B,2,0)</f>
        <v>Montaje y Soldadura FP</v>
      </c>
      <c r="P382" s="17" t="str">
        <f>VLOOKUP(B:B,CECOs!G:I,3,FALSE)</f>
        <v>OperadordeCampo</v>
      </c>
      <c r="Q382" s="17" t="str">
        <f>IF(_xlfn.XLOOKUP(L382,CECOs!A:A,CECOs!C:C,"")="",K382,_xlfn.XLOOKUP(L382,CECOs!A:A,CECOs!C:C,""))</f>
        <v>CASAL, GUSTAVO</v>
      </c>
      <c r="R382" s="17" t="s">
        <v>38</v>
      </c>
      <c r="S382" s="17" t="s">
        <v>45</v>
      </c>
      <c r="T382" s="17"/>
      <c r="U382" s="17" t="s">
        <v>306</v>
      </c>
      <c r="V382" s="17" t="s">
        <v>95</v>
      </c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29"/>
    </row>
    <row r="383" spans="1:37" ht="9.9499999999999993">
      <c r="A383" s="29">
        <v>46266</v>
      </c>
      <c r="B383" s="22">
        <v>3424475</v>
      </c>
      <c r="C383" s="17" t="s">
        <v>976</v>
      </c>
      <c r="D383" s="17" t="s">
        <v>38</v>
      </c>
      <c r="E383" s="17" t="s">
        <v>38</v>
      </c>
      <c r="F383" s="17"/>
      <c r="G383" s="17" t="str">
        <f>Table1[[#This Row],[DESCRIPCION_POSICION]]</f>
        <v>Ayudante de oficio</v>
      </c>
      <c r="H383" s="17" t="s">
        <v>994</v>
      </c>
      <c r="I383" s="17" t="s">
        <v>40</v>
      </c>
      <c r="J383" s="17" t="s">
        <v>68</v>
      </c>
      <c r="K383" s="17" t="s">
        <v>86</v>
      </c>
      <c r="L383" s="36" t="s">
        <v>978</v>
      </c>
      <c r="M383" s="103"/>
      <c r="N383" s="38" t="s">
        <v>995</v>
      </c>
      <c r="O383" s="36" t="str">
        <f>VLOOKUP(L383,CECOs!A:B,2,0)</f>
        <v>Montaje y Soldadura FP</v>
      </c>
      <c r="P383" s="17" t="str">
        <f>VLOOKUP(B:B,CECOs!G:I,3,FALSE)</f>
        <v>OperadordeCampo</v>
      </c>
      <c r="Q383" s="17" t="str">
        <f>IF(_xlfn.XLOOKUP(L383,CECOs!A:A,CECOs!C:C,"")="",K383,_xlfn.XLOOKUP(L383,CECOs!A:A,CECOs!C:C,""))</f>
        <v>CASAL, GUSTAVO</v>
      </c>
      <c r="R383" s="17" t="s">
        <v>38</v>
      </c>
      <c r="S383" s="17" t="s">
        <v>45</v>
      </c>
      <c r="T383" s="17"/>
      <c r="U383" s="17" t="s">
        <v>306</v>
      </c>
      <c r="V383" s="17" t="s">
        <v>95</v>
      </c>
      <c r="W383" s="17"/>
      <c r="X383" s="17"/>
      <c r="Y383" s="17"/>
      <c r="Z383" s="17"/>
      <c r="AA383" s="17"/>
      <c r="AB383" s="17" t="s">
        <v>49</v>
      </c>
      <c r="AC383" s="17"/>
      <c r="AD383" s="17" t="s">
        <v>50</v>
      </c>
      <c r="AE383" s="17"/>
      <c r="AF383" s="17"/>
      <c r="AG383" s="17"/>
      <c r="AH383" s="17"/>
      <c r="AI383" s="17"/>
      <c r="AJ383" s="17"/>
      <c r="AK383" s="29"/>
    </row>
    <row r="384" spans="1:37" ht="9.9499999999999993">
      <c r="A384" s="29">
        <v>46266</v>
      </c>
      <c r="B384" s="22">
        <v>3424479</v>
      </c>
      <c r="C384" s="17" t="s">
        <v>213</v>
      </c>
      <c r="D384" s="17" t="s">
        <v>38</v>
      </c>
      <c r="E384" s="17" t="s">
        <v>38</v>
      </c>
      <c r="F384" s="17"/>
      <c r="G384" s="17" t="str">
        <f>Table1[[#This Row],[DESCRIPCION_POSICION]]</f>
        <v>Recorredor Especializado</v>
      </c>
      <c r="H384" s="17" t="s">
        <v>996</v>
      </c>
      <c r="I384" s="17" t="s">
        <v>40</v>
      </c>
      <c r="J384" s="17" t="s">
        <v>68</v>
      </c>
      <c r="K384" s="17" t="s">
        <v>997</v>
      </c>
      <c r="L384" s="36" t="s">
        <v>998</v>
      </c>
      <c r="M384" s="103"/>
      <c r="N384" s="38" t="s">
        <v>999</v>
      </c>
      <c r="O384" s="36" t="str">
        <f>VLOOKUP(L384,CECOs!A:B,2,0)</f>
        <v>Oper campo LT1N</v>
      </c>
      <c r="P384" s="17" t="str">
        <f>VLOOKUP(B:B,CECOs!G:I,3,FALSE)</f>
        <v>OperadordeCampo</v>
      </c>
      <c r="Q384" s="17" t="str">
        <f>IF(_xlfn.XLOOKUP(L384,CECOs!A:A,CECOs!C:C,"")="",K384,_xlfn.XLOOKUP(L384,CECOs!A:A,CECOs!C:C,""))</f>
        <v>MERCADO, MAURICIO / FREDES, RUBEN</v>
      </c>
      <c r="R384" s="17" t="s">
        <v>38</v>
      </c>
      <c r="S384" s="17" t="s">
        <v>45</v>
      </c>
      <c r="T384" s="17"/>
      <c r="U384" s="17" t="s">
        <v>217</v>
      </c>
      <c r="V384" s="17" t="s">
        <v>95</v>
      </c>
      <c r="W384" s="17"/>
      <c r="X384" s="17"/>
      <c r="Y384" s="17"/>
      <c r="Z384" s="17"/>
      <c r="AA384" s="17"/>
      <c r="AB384" s="17" t="s">
        <v>49</v>
      </c>
      <c r="AC384" s="17"/>
      <c r="AD384" s="17" t="s">
        <v>50</v>
      </c>
      <c r="AE384" s="17"/>
      <c r="AF384" s="17"/>
      <c r="AG384" s="17"/>
      <c r="AH384" s="17"/>
      <c r="AI384" s="17"/>
      <c r="AJ384" s="17"/>
      <c r="AK384" s="29"/>
    </row>
    <row r="385" spans="1:37" ht="9.9499999999999993">
      <c r="A385" s="29">
        <v>46266</v>
      </c>
      <c r="B385" s="22">
        <v>3437785</v>
      </c>
      <c r="C385" s="17" t="s">
        <v>213</v>
      </c>
      <c r="D385" s="17" t="s">
        <v>38</v>
      </c>
      <c r="E385" s="17" t="s">
        <v>38</v>
      </c>
      <c r="F385" s="17"/>
      <c r="G385" s="17" t="str">
        <f>Table1[[#This Row],[DESCRIPCION_POSICION]]</f>
        <v>Recorredor Especializado</v>
      </c>
      <c r="H385" s="17" t="s">
        <v>1000</v>
      </c>
      <c r="I385" s="17" t="s">
        <v>40</v>
      </c>
      <c r="J385" s="17" t="s">
        <v>68</v>
      </c>
      <c r="K385" s="17" t="s">
        <v>997</v>
      </c>
      <c r="L385" s="36" t="s">
        <v>1001</v>
      </c>
      <c r="M385" s="103"/>
      <c r="N385" s="37" t="s">
        <v>1002</v>
      </c>
      <c r="O385" s="36" t="str">
        <f>VLOOKUP(L385,CECOs!A:B,2,0)</f>
        <v>Almacenamiento de Agua LT2E</v>
      </c>
      <c r="P385" s="17" t="e">
        <f>VLOOKUP(B:B,CECOs!G:I,3,FALSE)</f>
        <v>#N/A</v>
      </c>
      <c r="Q385" s="17" t="str">
        <f>IF(_xlfn.XLOOKUP(L385,CECOs!A:A,CECOs!C:C,"")="",K385,_xlfn.XLOOKUP(L385,CECOs!A:A,CECOs!C:C,""))</f>
        <v>MERCADO, MAURICIO / FREDES, RUBEN</v>
      </c>
      <c r="R385" s="17" t="s">
        <v>38</v>
      </c>
      <c r="S385" s="17" t="s">
        <v>45</v>
      </c>
      <c r="T385" s="17"/>
      <c r="U385" s="17" t="s">
        <v>217</v>
      </c>
      <c r="V385" s="17" t="s">
        <v>95</v>
      </c>
      <c r="W385" s="17"/>
      <c r="X385" s="17"/>
      <c r="Y385" s="17"/>
      <c r="Z385" s="17"/>
      <c r="AA385" s="17"/>
      <c r="AB385" s="17" t="s">
        <v>49</v>
      </c>
      <c r="AC385" s="17"/>
      <c r="AD385" s="17" t="s">
        <v>50</v>
      </c>
      <c r="AE385" s="17"/>
      <c r="AF385" s="17"/>
      <c r="AG385" s="17"/>
      <c r="AH385" s="17"/>
      <c r="AI385" s="17"/>
      <c r="AJ385" s="17"/>
      <c r="AK385" s="29"/>
    </row>
    <row r="386" spans="1:37" ht="9.9499999999999993">
      <c r="A386" s="29">
        <v>46266</v>
      </c>
      <c r="B386" s="22">
        <v>3424481</v>
      </c>
      <c r="C386" s="17" t="s">
        <v>213</v>
      </c>
      <c r="D386" s="17" t="s">
        <v>38</v>
      </c>
      <c r="E386" s="17" t="s">
        <v>38</v>
      </c>
      <c r="F386" s="17"/>
      <c r="G386" s="17" t="str">
        <f>Table1[[#This Row],[DESCRIPCION_POSICION]]</f>
        <v>Recorredor Especializado</v>
      </c>
      <c r="H386" s="17" t="s">
        <v>1003</v>
      </c>
      <c r="I386" s="17" t="s">
        <v>40</v>
      </c>
      <c r="J386" s="17" t="s">
        <v>68</v>
      </c>
      <c r="K386" s="17" t="s">
        <v>997</v>
      </c>
      <c r="L386" s="36" t="s">
        <v>998</v>
      </c>
      <c r="M386" s="103"/>
      <c r="N386" s="38" t="s">
        <v>1004</v>
      </c>
      <c r="O386" s="36" t="str">
        <f>VLOOKUP(L386,CECOs!A:B,2,0)</f>
        <v>Oper campo LT1N</v>
      </c>
      <c r="P386" s="17" t="str">
        <f>VLOOKUP(B:B,CECOs!G:I,3,FALSE)</f>
        <v>OperadordeCampo</v>
      </c>
      <c r="Q386" s="17" t="str">
        <f>IF(_xlfn.XLOOKUP(L386,CECOs!A:A,CECOs!C:C,"")="",K386,_xlfn.XLOOKUP(L386,CECOs!A:A,CECOs!C:C,""))</f>
        <v>MERCADO, MAURICIO / FREDES, RUBEN</v>
      </c>
      <c r="R386" s="17" t="s">
        <v>38</v>
      </c>
      <c r="S386" s="17" t="s">
        <v>45</v>
      </c>
      <c r="T386" s="17"/>
      <c r="U386" s="17" t="s">
        <v>217</v>
      </c>
      <c r="V386" s="17" t="s">
        <v>95</v>
      </c>
      <c r="W386" s="17"/>
      <c r="X386" s="17"/>
      <c r="Y386" s="17"/>
      <c r="Z386" s="17"/>
      <c r="AA386" s="17"/>
      <c r="AB386" s="17" t="s">
        <v>49</v>
      </c>
      <c r="AC386" s="17"/>
      <c r="AD386" s="17" t="s">
        <v>50</v>
      </c>
      <c r="AE386" s="17"/>
      <c r="AF386" s="17"/>
      <c r="AG386" s="17"/>
      <c r="AH386" s="17"/>
      <c r="AI386" s="17"/>
      <c r="AJ386" s="17"/>
      <c r="AK386" s="29"/>
    </row>
    <row r="387" spans="1:37" ht="9.9499999999999993">
      <c r="A387" s="29">
        <v>46266</v>
      </c>
      <c r="B387" s="22">
        <v>3424482</v>
      </c>
      <c r="C387" s="17" t="s">
        <v>213</v>
      </c>
      <c r="D387" s="17" t="s">
        <v>38</v>
      </c>
      <c r="E387" s="17" t="s">
        <v>38</v>
      </c>
      <c r="F387" s="17"/>
      <c r="G387" s="17" t="str">
        <f>Table1[[#This Row],[DESCRIPCION_POSICION]]</f>
        <v>Recorredor Especializado</v>
      </c>
      <c r="H387" s="17" t="s">
        <v>1005</v>
      </c>
      <c r="I387" s="17" t="s">
        <v>40</v>
      </c>
      <c r="J387" s="17" t="s">
        <v>68</v>
      </c>
      <c r="K387" s="17" t="s">
        <v>997</v>
      </c>
      <c r="L387" s="36" t="s">
        <v>998</v>
      </c>
      <c r="M387" s="103"/>
      <c r="N387" s="38" t="s">
        <v>1006</v>
      </c>
      <c r="O387" s="36" t="str">
        <f>VLOOKUP(L387,CECOs!A:B,2,0)</f>
        <v>Oper campo LT1N</v>
      </c>
      <c r="P387" s="17" t="str">
        <f>VLOOKUP(B:B,CECOs!G:I,3,FALSE)</f>
        <v>OperadordeCampo</v>
      </c>
      <c r="Q387" s="17" t="str">
        <f>IF(_xlfn.XLOOKUP(L387,CECOs!A:A,CECOs!C:C,"")="",K387,_xlfn.XLOOKUP(L387,CECOs!A:A,CECOs!C:C,""))</f>
        <v>MERCADO, MAURICIO / FREDES, RUBEN</v>
      </c>
      <c r="R387" s="17" t="s">
        <v>38</v>
      </c>
      <c r="S387" s="17" t="s">
        <v>45</v>
      </c>
      <c r="T387" s="17"/>
      <c r="U387" s="17" t="s">
        <v>217</v>
      </c>
      <c r="V387" s="17" t="s">
        <v>95</v>
      </c>
      <c r="W387" s="17"/>
      <c r="X387" s="17"/>
      <c r="Y387" s="17"/>
      <c r="Z387" s="17"/>
      <c r="AA387" s="17"/>
      <c r="AB387" s="17" t="s">
        <v>49</v>
      </c>
      <c r="AC387" s="17"/>
      <c r="AD387" s="17" t="s">
        <v>50</v>
      </c>
      <c r="AE387" s="17"/>
      <c r="AF387" s="17"/>
      <c r="AG387" s="17"/>
      <c r="AH387" s="17"/>
      <c r="AI387" s="17"/>
      <c r="AJ387" s="17"/>
      <c r="AK387" s="29"/>
    </row>
    <row r="388" spans="1:37" ht="9.9499999999999993">
      <c r="A388" s="29">
        <v>46266</v>
      </c>
      <c r="B388" s="22">
        <v>3424483</v>
      </c>
      <c r="C388" s="17" t="s">
        <v>213</v>
      </c>
      <c r="D388" s="17" t="s">
        <v>38</v>
      </c>
      <c r="E388" s="17" t="s">
        <v>38</v>
      </c>
      <c r="F388" s="17"/>
      <c r="G388" s="17" t="str">
        <f>Table1[[#This Row],[DESCRIPCION_POSICION]]</f>
        <v>Recorredor Especializado</v>
      </c>
      <c r="H388" s="17" t="s">
        <v>1007</v>
      </c>
      <c r="I388" s="17" t="s">
        <v>40</v>
      </c>
      <c r="J388" s="17" t="s">
        <v>68</v>
      </c>
      <c r="K388" s="17" t="s">
        <v>997</v>
      </c>
      <c r="L388" s="36" t="s">
        <v>998</v>
      </c>
      <c r="M388" s="103"/>
      <c r="N388" s="38" t="s">
        <v>1008</v>
      </c>
      <c r="O388" s="36" t="str">
        <f>VLOOKUP(L388,CECOs!A:B,2,0)</f>
        <v>Oper campo LT1N</v>
      </c>
      <c r="P388" s="17" t="str">
        <f>VLOOKUP(B:B,CECOs!G:I,3,FALSE)</f>
        <v>OperadordeCampo</v>
      </c>
      <c r="Q388" s="17" t="str">
        <f>IF(_xlfn.XLOOKUP(L388,CECOs!A:A,CECOs!C:C,"")="",K388,_xlfn.XLOOKUP(L388,CECOs!A:A,CECOs!C:C,""))</f>
        <v>MERCADO, MAURICIO / FREDES, RUBEN</v>
      </c>
      <c r="R388" s="17" t="s">
        <v>38</v>
      </c>
      <c r="S388" s="17" t="s">
        <v>45</v>
      </c>
      <c r="T388" s="17"/>
      <c r="U388" s="17" t="s">
        <v>217</v>
      </c>
      <c r="V388" s="17" t="s">
        <v>95</v>
      </c>
      <c r="W388" s="17"/>
      <c r="X388" s="17"/>
      <c r="Y388" s="17"/>
      <c r="Z388" s="17"/>
      <c r="AA388" s="17"/>
      <c r="AB388" s="17" t="s">
        <v>49</v>
      </c>
      <c r="AC388" s="17"/>
      <c r="AD388" s="17" t="s">
        <v>50</v>
      </c>
      <c r="AE388" s="17"/>
      <c r="AF388" s="17"/>
      <c r="AG388" s="17"/>
      <c r="AH388" s="17"/>
      <c r="AI388" s="17"/>
      <c r="AJ388" s="17"/>
      <c r="AK388" s="29"/>
    </row>
    <row r="389" spans="1:37" ht="9.9499999999999993">
      <c r="A389" s="29">
        <v>46266</v>
      </c>
      <c r="B389" s="22">
        <v>3424484</v>
      </c>
      <c r="C389" s="17" t="s">
        <v>213</v>
      </c>
      <c r="D389" s="17" t="s">
        <v>38</v>
      </c>
      <c r="E389" s="17" t="s">
        <v>38</v>
      </c>
      <c r="F389" s="17"/>
      <c r="G389" s="17" t="str">
        <f>Table1[[#This Row],[DESCRIPCION_POSICION]]</f>
        <v>Recorredor Especializado</v>
      </c>
      <c r="H389" s="17" t="s">
        <v>1009</v>
      </c>
      <c r="I389" s="17" t="s">
        <v>40</v>
      </c>
      <c r="J389" s="17" t="s">
        <v>68</v>
      </c>
      <c r="K389" s="17" t="s">
        <v>997</v>
      </c>
      <c r="L389" s="36" t="s">
        <v>998</v>
      </c>
      <c r="M389" s="103"/>
      <c r="N389" s="38" t="s">
        <v>1010</v>
      </c>
      <c r="O389" s="36" t="str">
        <f>VLOOKUP(L389,CECOs!A:B,2,0)</f>
        <v>Oper campo LT1N</v>
      </c>
      <c r="P389" s="17" t="str">
        <f>VLOOKUP(B:B,CECOs!G:I,3,FALSE)</f>
        <v>OperadordeCampo</v>
      </c>
      <c r="Q389" s="17" t="str">
        <f>IF(_xlfn.XLOOKUP(L389,CECOs!A:A,CECOs!C:C,"")="",K389,_xlfn.XLOOKUP(L389,CECOs!A:A,CECOs!C:C,""))</f>
        <v>MERCADO, MAURICIO / FREDES, RUBEN</v>
      </c>
      <c r="R389" s="17" t="s">
        <v>38</v>
      </c>
      <c r="S389" s="17" t="s">
        <v>45</v>
      </c>
      <c r="T389" s="17"/>
      <c r="U389" s="17" t="s">
        <v>217</v>
      </c>
      <c r="V389" s="17" t="s">
        <v>95</v>
      </c>
      <c r="W389" s="17"/>
      <c r="X389" s="17"/>
      <c r="Y389" s="17"/>
      <c r="Z389" s="17"/>
      <c r="AA389" s="17"/>
      <c r="AB389" s="17" t="s">
        <v>49</v>
      </c>
      <c r="AC389" s="17"/>
      <c r="AD389" s="17" t="s">
        <v>50</v>
      </c>
      <c r="AE389" s="17"/>
      <c r="AF389" s="17"/>
      <c r="AG389" s="17"/>
      <c r="AH389" s="17"/>
      <c r="AI389" s="17"/>
      <c r="AJ389" s="17"/>
      <c r="AK389" s="29"/>
    </row>
    <row r="390" spans="1:37" ht="9.9499999999999993">
      <c r="A390" s="29">
        <v>46266</v>
      </c>
      <c r="B390" s="22">
        <v>3424485</v>
      </c>
      <c r="C390" s="17" t="s">
        <v>213</v>
      </c>
      <c r="D390" s="17" t="s">
        <v>38</v>
      </c>
      <c r="E390" s="17" t="s">
        <v>38</v>
      </c>
      <c r="F390" s="17"/>
      <c r="G390" s="17" t="str">
        <f>Table1[[#This Row],[DESCRIPCION_POSICION]]</f>
        <v>Recorredor Especializado</v>
      </c>
      <c r="H390" s="17" t="s">
        <v>1011</v>
      </c>
      <c r="I390" s="17" t="s">
        <v>40</v>
      </c>
      <c r="J390" s="17" t="s">
        <v>68</v>
      </c>
      <c r="K390" s="17" t="s">
        <v>997</v>
      </c>
      <c r="L390" s="36" t="s">
        <v>998</v>
      </c>
      <c r="M390" s="103"/>
      <c r="N390" s="38" t="s">
        <v>1012</v>
      </c>
      <c r="O390" s="36" t="str">
        <f>VLOOKUP(L390,CECOs!A:B,2,0)</f>
        <v>Oper campo LT1N</v>
      </c>
      <c r="P390" s="17" t="str">
        <f>VLOOKUP(B:B,CECOs!G:I,3,FALSE)</f>
        <v>OperadordeCampo</v>
      </c>
      <c r="Q390" s="17" t="str">
        <f>IF(_xlfn.XLOOKUP(L390,CECOs!A:A,CECOs!C:C,"")="",K390,_xlfn.XLOOKUP(L390,CECOs!A:A,CECOs!C:C,""))</f>
        <v>MERCADO, MAURICIO / FREDES, RUBEN</v>
      </c>
      <c r="R390" s="17" t="s">
        <v>38</v>
      </c>
      <c r="S390" s="17" t="s">
        <v>45</v>
      </c>
      <c r="T390" s="17"/>
      <c r="U390" s="17" t="s">
        <v>217</v>
      </c>
      <c r="V390" s="17" t="s">
        <v>95</v>
      </c>
      <c r="W390" s="17"/>
      <c r="X390" s="17"/>
      <c r="Y390" s="17"/>
      <c r="Z390" s="17"/>
      <c r="AA390" s="17"/>
      <c r="AB390" s="17" t="s">
        <v>49</v>
      </c>
      <c r="AC390" s="17"/>
      <c r="AD390" s="17" t="s">
        <v>50</v>
      </c>
      <c r="AE390" s="17"/>
      <c r="AF390" s="17"/>
      <c r="AG390" s="17"/>
      <c r="AH390" s="17"/>
      <c r="AI390" s="17"/>
      <c r="AJ390" s="17"/>
      <c r="AK390" s="29"/>
    </row>
    <row r="391" spans="1:37" ht="9.9499999999999993">
      <c r="A391" s="29">
        <v>46266</v>
      </c>
      <c r="B391" s="22">
        <v>3424486</v>
      </c>
      <c r="C391" s="17" t="s">
        <v>213</v>
      </c>
      <c r="D391" s="17" t="s">
        <v>38</v>
      </c>
      <c r="E391" s="17" t="s">
        <v>38</v>
      </c>
      <c r="F391" s="17"/>
      <c r="G391" s="17" t="str">
        <f>Table1[[#This Row],[DESCRIPCION_POSICION]]</f>
        <v>Recorredor Especializado</v>
      </c>
      <c r="H391" s="17" t="s">
        <v>1013</v>
      </c>
      <c r="I391" s="17" t="s">
        <v>40</v>
      </c>
      <c r="J391" s="17" t="s">
        <v>68</v>
      </c>
      <c r="K391" s="17" t="s">
        <v>997</v>
      </c>
      <c r="L391" s="36" t="s">
        <v>998</v>
      </c>
      <c r="M391" s="103"/>
      <c r="N391" s="38" t="s">
        <v>1014</v>
      </c>
      <c r="O391" s="36" t="str">
        <f>VLOOKUP(L391,CECOs!A:B,2,0)</f>
        <v>Oper campo LT1N</v>
      </c>
      <c r="P391" s="17" t="str">
        <f>VLOOKUP(B:B,CECOs!G:I,3,FALSE)</f>
        <v>OperadordeCampo</v>
      </c>
      <c r="Q391" s="17" t="str">
        <f>IF(_xlfn.XLOOKUP(L391,CECOs!A:A,CECOs!C:C,"")="",K391,_xlfn.XLOOKUP(L391,CECOs!A:A,CECOs!C:C,""))</f>
        <v>MERCADO, MAURICIO / FREDES, RUBEN</v>
      </c>
      <c r="R391" s="17" t="s">
        <v>38</v>
      </c>
      <c r="S391" s="17" t="s">
        <v>45</v>
      </c>
      <c r="T391" s="17"/>
      <c r="U391" s="17" t="s">
        <v>217</v>
      </c>
      <c r="V391" s="17" t="s">
        <v>95</v>
      </c>
      <c r="W391" s="17"/>
      <c r="X391" s="17"/>
      <c r="Y391" s="17"/>
      <c r="Z391" s="17"/>
      <c r="AA391" s="17"/>
      <c r="AB391" s="17" t="s">
        <v>49</v>
      </c>
      <c r="AC391" s="17"/>
      <c r="AD391" s="17" t="s">
        <v>50</v>
      </c>
      <c r="AE391" s="17"/>
      <c r="AF391" s="17"/>
      <c r="AG391" s="17"/>
      <c r="AH391" s="17"/>
      <c r="AI391" s="17"/>
      <c r="AJ391" s="17"/>
      <c r="AK391" s="29"/>
    </row>
    <row r="392" spans="1:37" ht="9.9499999999999993">
      <c r="A392" s="29">
        <v>46266</v>
      </c>
      <c r="B392" s="22">
        <v>3437784</v>
      </c>
      <c r="C392" s="17" t="s">
        <v>213</v>
      </c>
      <c r="D392" s="17" t="s">
        <v>38</v>
      </c>
      <c r="E392" s="17" t="s">
        <v>38</v>
      </c>
      <c r="F392" s="17"/>
      <c r="G392" s="17" t="str">
        <f>Table1[[#This Row],[DESCRIPCION_POSICION]]</f>
        <v>Recorredor Especializado</v>
      </c>
      <c r="H392" s="17" t="s">
        <v>1015</v>
      </c>
      <c r="I392" s="17" t="s">
        <v>40</v>
      </c>
      <c r="J392" s="17" t="s">
        <v>68</v>
      </c>
      <c r="K392" s="17" t="s">
        <v>997</v>
      </c>
      <c r="L392" s="36" t="s">
        <v>1001</v>
      </c>
      <c r="M392" s="103"/>
      <c r="N392" s="37" t="s">
        <v>1016</v>
      </c>
      <c r="O392" s="36" t="str">
        <f>VLOOKUP(L392,CECOs!A:B,2,0)</f>
        <v>Almacenamiento de Agua LT2E</v>
      </c>
      <c r="P392" s="17" t="e">
        <f>VLOOKUP(B:B,CECOs!G:I,3,FALSE)</f>
        <v>#N/A</v>
      </c>
      <c r="Q392" s="17" t="str">
        <f>IF(_xlfn.XLOOKUP(L392,CECOs!A:A,CECOs!C:C,"")="",K392,_xlfn.XLOOKUP(L392,CECOs!A:A,CECOs!C:C,""))</f>
        <v>MERCADO, MAURICIO / FREDES, RUBEN</v>
      </c>
      <c r="R392" s="17" t="s">
        <v>38</v>
      </c>
      <c r="S392" s="17" t="s">
        <v>45</v>
      </c>
      <c r="T392" s="17"/>
      <c r="U392" s="17" t="s">
        <v>217</v>
      </c>
      <c r="V392" s="17" t="s">
        <v>95</v>
      </c>
      <c r="W392" s="17"/>
      <c r="X392" s="17"/>
      <c r="Y392" s="17"/>
      <c r="Z392" s="17"/>
      <c r="AA392" s="17"/>
      <c r="AB392" s="17" t="s">
        <v>49</v>
      </c>
      <c r="AC392" s="17"/>
      <c r="AD392" s="17" t="s">
        <v>50</v>
      </c>
      <c r="AE392" s="17"/>
      <c r="AF392" s="17"/>
      <c r="AG392" s="17"/>
      <c r="AH392" s="17"/>
      <c r="AI392" s="17"/>
      <c r="AJ392" s="17"/>
      <c r="AK392" s="29"/>
    </row>
    <row r="393" spans="1:37" ht="9.9499999999999993">
      <c r="A393" s="29">
        <v>46266</v>
      </c>
      <c r="B393" s="22">
        <v>3424488</v>
      </c>
      <c r="C393" s="17" t="s">
        <v>213</v>
      </c>
      <c r="D393" s="17" t="s">
        <v>38</v>
      </c>
      <c r="E393" s="17" t="s">
        <v>38</v>
      </c>
      <c r="F393" s="17"/>
      <c r="G393" s="17" t="str">
        <f>Table1[[#This Row],[DESCRIPCION_POSICION]]</f>
        <v>Recorredor Especializado</v>
      </c>
      <c r="H393" s="17" t="s">
        <v>1017</v>
      </c>
      <c r="I393" s="17" t="s">
        <v>40</v>
      </c>
      <c r="J393" s="17" t="s">
        <v>68</v>
      </c>
      <c r="K393" s="17" t="s">
        <v>997</v>
      </c>
      <c r="L393" s="36" t="s">
        <v>998</v>
      </c>
      <c r="M393" s="103"/>
      <c r="N393" s="38" t="s">
        <v>1018</v>
      </c>
      <c r="O393" s="36" t="str">
        <f>VLOOKUP(L393,CECOs!A:B,2,0)</f>
        <v>Oper campo LT1N</v>
      </c>
      <c r="P393" s="17" t="str">
        <f>VLOOKUP(B:B,CECOs!G:I,3,FALSE)</f>
        <v>OperadordeCampo</v>
      </c>
      <c r="Q393" s="17" t="str">
        <f>IF(_xlfn.XLOOKUP(L393,CECOs!A:A,CECOs!C:C,"")="",K393,_xlfn.XLOOKUP(L393,CECOs!A:A,CECOs!C:C,""))</f>
        <v>MERCADO, MAURICIO / FREDES, RUBEN</v>
      </c>
      <c r="R393" s="17" t="s">
        <v>38</v>
      </c>
      <c r="S393" s="17" t="s">
        <v>45</v>
      </c>
      <c r="T393" s="17"/>
      <c r="U393" s="17" t="s">
        <v>217</v>
      </c>
      <c r="V393" s="17" t="s">
        <v>95</v>
      </c>
      <c r="W393" s="17"/>
      <c r="X393" s="17"/>
      <c r="Y393" s="17"/>
      <c r="Z393" s="17"/>
      <c r="AA393" s="17"/>
      <c r="AB393" s="17" t="s">
        <v>49</v>
      </c>
      <c r="AC393" s="17"/>
      <c r="AD393" s="17" t="s">
        <v>50</v>
      </c>
      <c r="AE393" s="17"/>
      <c r="AF393" s="17"/>
      <c r="AG393" s="17"/>
      <c r="AH393" s="17"/>
      <c r="AI393" s="17"/>
      <c r="AJ393" s="17"/>
      <c r="AK393" s="29"/>
    </row>
    <row r="394" spans="1:37" ht="9.9499999999999993">
      <c r="A394" s="29">
        <v>46266</v>
      </c>
      <c r="B394" s="22">
        <v>3437783</v>
      </c>
      <c r="C394" s="17" t="s">
        <v>213</v>
      </c>
      <c r="D394" s="17" t="s">
        <v>38</v>
      </c>
      <c r="E394" s="17" t="s">
        <v>38</v>
      </c>
      <c r="F394" s="17"/>
      <c r="G394" s="17" t="str">
        <f>Table1[[#This Row],[DESCRIPCION_POSICION]]</f>
        <v>Recorredor Especializado</v>
      </c>
      <c r="H394" s="17" t="s">
        <v>1019</v>
      </c>
      <c r="I394" s="17" t="s">
        <v>40</v>
      </c>
      <c r="J394" s="17" t="s">
        <v>68</v>
      </c>
      <c r="K394" s="17" t="s">
        <v>997</v>
      </c>
      <c r="L394" s="36" t="s">
        <v>1001</v>
      </c>
      <c r="M394" s="103"/>
      <c r="N394" s="37" t="s">
        <v>1020</v>
      </c>
      <c r="O394" s="36" t="str">
        <f>VLOOKUP(L394,CECOs!A:B,2,0)</f>
        <v>Almacenamiento de Agua LT2E</v>
      </c>
      <c r="P394" s="17" t="e">
        <f>VLOOKUP(B:B,CECOs!G:I,3,FALSE)</f>
        <v>#N/A</v>
      </c>
      <c r="Q394" s="17" t="str">
        <f>IF(_xlfn.XLOOKUP(L394,CECOs!A:A,CECOs!C:C,"")="",K394,_xlfn.XLOOKUP(L394,CECOs!A:A,CECOs!C:C,""))</f>
        <v>MERCADO, MAURICIO / FREDES, RUBEN</v>
      </c>
      <c r="R394" s="17" t="s">
        <v>38</v>
      </c>
      <c r="S394" s="17" t="s">
        <v>45</v>
      </c>
      <c r="T394" s="17"/>
      <c r="U394" s="17" t="s">
        <v>217</v>
      </c>
      <c r="V394" s="17" t="s">
        <v>95</v>
      </c>
      <c r="W394" s="17"/>
      <c r="X394" s="17"/>
      <c r="Y394" s="17"/>
      <c r="Z394" s="17"/>
      <c r="AA394" s="17"/>
      <c r="AB394" s="17" t="s">
        <v>49</v>
      </c>
      <c r="AC394" s="17"/>
      <c r="AD394" s="17" t="s">
        <v>50</v>
      </c>
      <c r="AE394" s="17"/>
      <c r="AF394" s="17"/>
      <c r="AG394" s="17"/>
      <c r="AH394" s="17"/>
      <c r="AI394" s="17"/>
      <c r="AJ394" s="17"/>
      <c r="AK394" s="29"/>
    </row>
    <row r="395" spans="1:37" ht="9.9499999999999993">
      <c r="A395" s="29">
        <v>46266</v>
      </c>
      <c r="B395" s="22">
        <v>3437782</v>
      </c>
      <c r="C395" s="17" t="s">
        <v>213</v>
      </c>
      <c r="D395" s="17" t="s">
        <v>38</v>
      </c>
      <c r="E395" s="17" t="s">
        <v>38</v>
      </c>
      <c r="F395" s="17"/>
      <c r="G395" s="17" t="str">
        <f>Table1[[#This Row],[DESCRIPCION_POSICION]]</f>
        <v>Recorredor Especializado</v>
      </c>
      <c r="H395" s="17" t="s">
        <v>1021</v>
      </c>
      <c r="I395" s="17" t="s">
        <v>40</v>
      </c>
      <c r="J395" s="17" t="s">
        <v>68</v>
      </c>
      <c r="K395" s="17" t="s">
        <v>997</v>
      </c>
      <c r="L395" s="36" t="s">
        <v>1001</v>
      </c>
      <c r="M395" s="103"/>
      <c r="N395" s="37" t="s">
        <v>1022</v>
      </c>
      <c r="O395" s="36" t="str">
        <f>VLOOKUP(L395,CECOs!A:B,2,0)</f>
        <v>Almacenamiento de Agua LT2E</v>
      </c>
      <c r="P395" s="17" t="e">
        <f>VLOOKUP(B:B,CECOs!G:I,3,FALSE)</f>
        <v>#N/A</v>
      </c>
      <c r="Q395" s="17" t="str">
        <f>IF(_xlfn.XLOOKUP(L395,CECOs!A:A,CECOs!C:C,"")="",K395,_xlfn.XLOOKUP(L395,CECOs!A:A,CECOs!C:C,""))</f>
        <v>MERCADO, MAURICIO / FREDES, RUBEN</v>
      </c>
      <c r="R395" s="17" t="s">
        <v>38</v>
      </c>
      <c r="S395" s="17" t="s">
        <v>45</v>
      </c>
      <c r="T395" s="17"/>
      <c r="U395" s="17" t="s">
        <v>217</v>
      </c>
      <c r="V395" s="17" t="s">
        <v>95</v>
      </c>
      <c r="W395" s="17"/>
      <c r="X395" s="17"/>
      <c r="Y395" s="17"/>
      <c r="Z395" s="17"/>
      <c r="AA395" s="17"/>
      <c r="AB395" s="17" t="s">
        <v>49</v>
      </c>
      <c r="AC395" s="17"/>
      <c r="AD395" s="17" t="s">
        <v>50</v>
      </c>
      <c r="AE395" s="17"/>
      <c r="AF395" s="17"/>
      <c r="AG395" s="17"/>
      <c r="AH395" s="17"/>
      <c r="AI395" s="17"/>
      <c r="AJ395" s="17"/>
      <c r="AK395" s="29"/>
    </row>
    <row r="396" spans="1:37" ht="9.9499999999999993">
      <c r="A396" s="29">
        <v>46266</v>
      </c>
      <c r="B396" s="22">
        <v>3424487</v>
      </c>
      <c r="C396" s="17" t="s">
        <v>213</v>
      </c>
      <c r="D396" s="17" t="s">
        <v>38</v>
      </c>
      <c r="E396" s="17" t="s">
        <v>38</v>
      </c>
      <c r="F396" s="17"/>
      <c r="G396" s="17" t="str">
        <f>Table1[[#This Row],[DESCRIPCION_POSICION]]</f>
        <v>Recorredor Especializado</v>
      </c>
      <c r="H396" s="17" t="s">
        <v>1023</v>
      </c>
      <c r="I396" s="17" t="s">
        <v>40</v>
      </c>
      <c r="J396" s="17" t="s">
        <v>68</v>
      </c>
      <c r="K396" s="17" t="s">
        <v>997</v>
      </c>
      <c r="L396" s="36" t="s">
        <v>998</v>
      </c>
      <c r="M396" s="103"/>
      <c r="N396" s="38" t="s">
        <v>1024</v>
      </c>
      <c r="O396" s="36" t="str">
        <f>VLOOKUP(L396,CECOs!A:B,2,0)</f>
        <v>Oper campo LT1N</v>
      </c>
      <c r="P396" s="17" t="str">
        <f>VLOOKUP(B:B,CECOs!G:I,3,FALSE)</f>
        <v>Relevooperación</v>
      </c>
      <c r="Q396" s="17" t="str">
        <f>IF(_xlfn.XLOOKUP(L396,CECOs!A:A,CECOs!C:C,"")="",K396,_xlfn.XLOOKUP(L396,CECOs!A:A,CECOs!C:C,""))</f>
        <v>MERCADO, MAURICIO / FREDES, RUBEN</v>
      </c>
      <c r="R396" s="17" t="s">
        <v>38</v>
      </c>
      <c r="S396" s="17" t="s">
        <v>45</v>
      </c>
      <c r="T396" s="17"/>
      <c r="U396" s="17" t="s">
        <v>217</v>
      </c>
      <c r="V396" s="17" t="s">
        <v>95</v>
      </c>
      <c r="W396" s="17"/>
      <c r="X396" s="17"/>
      <c r="Y396" s="17"/>
      <c r="Z396" s="17"/>
      <c r="AA396" s="17"/>
      <c r="AB396" s="17" t="s">
        <v>49</v>
      </c>
      <c r="AC396" s="17"/>
      <c r="AD396" s="17" t="s">
        <v>50</v>
      </c>
      <c r="AE396" s="17"/>
      <c r="AF396" s="17"/>
      <c r="AG396" s="17"/>
      <c r="AH396" s="17"/>
      <c r="AI396" s="17"/>
      <c r="AJ396" s="17"/>
      <c r="AK396" s="29"/>
    </row>
    <row r="397" spans="1:37" ht="9.9499999999999993">
      <c r="A397" s="29">
        <v>46266</v>
      </c>
      <c r="B397" s="22">
        <v>3424480</v>
      </c>
      <c r="C397" s="17" t="s">
        <v>213</v>
      </c>
      <c r="D397" s="17" t="s">
        <v>38</v>
      </c>
      <c r="E397" s="17" t="s">
        <v>38</v>
      </c>
      <c r="F397" s="17"/>
      <c r="G397" s="17" t="str">
        <f>Table1[[#This Row],[DESCRIPCION_POSICION]]</f>
        <v>Recorredor Especializado</v>
      </c>
      <c r="H397" s="17" t="s">
        <v>1025</v>
      </c>
      <c r="I397" s="17" t="s">
        <v>40</v>
      </c>
      <c r="J397" s="17" t="s">
        <v>68</v>
      </c>
      <c r="K397" s="17" t="s">
        <v>997</v>
      </c>
      <c r="L397" s="36" t="s">
        <v>998</v>
      </c>
      <c r="M397" s="103"/>
      <c r="N397" s="38" t="s">
        <v>1026</v>
      </c>
      <c r="O397" s="36" t="str">
        <f>VLOOKUP(L397,CECOs!A:B,2,0)</f>
        <v>Oper campo LT1N</v>
      </c>
      <c r="P397" s="17" t="str">
        <f>VLOOKUP(B:B,CECOs!G:I,3,FALSE)</f>
        <v>Relevooperación</v>
      </c>
      <c r="Q397" s="17" t="str">
        <f>IF(_xlfn.XLOOKUP(L397,CECOs!A:A,CECOs!C:C,"")="",K397,_xlfn.XLOOKUP(L397,CECOs!A:A,CECOs!C:C,""))</f>
        <v>MERCADO, MAURICIO / FREDES, RUBEN</v>
      </c>
      <c r="R397" s="17" t="s">
        <v>38</v>
      </c>
      <c r="S397" s="17" t="s">
        <v>45</v>
      </c>
      <c r="T397" s="17"/>
      <c r="U397" s="17" t="s">
        <v>217</v>
      </c>
      <c r="V397" s="17" t="s">
        <v>95</v>
      </c>
      <c r="W397" s="17"/>
      <c r="X397" s="17"/>
      <c r="Y397" s="17"/>
      <c r="Z397" s="17"/>
      <c r="AA397" s="17"/>
      <c r="AB397" s="17" t="s">
        <v>49</v>
      </c>
      <c r="AC397" s="17"/>
      <c r="AD397" s="17" t="s">
        <v>50</v>
      </c>
      <c r="AE397" s="17"/>
      <c r="AF397" s="17"/>
      <c r="AG397" s="17"/>
      <c r="AH397" s="17"/>
      <c r="AI397" s="17"/>
      <c r="AJ397" s="17"/>
      <c r="AK397" s="29"/>
    </row>
    <row r="398" spans="1:37" ht="9.9499999999999993">
      <c r="A398" s="29">
        <v>46266</v>
      </c>
      <c r="B398" s="22">
        <v>3425377</v>
      </c>
      <c r="C398" s="17" t="s">
        <v>932</v>
      </c>
      <c r="D398" s="17" t="s">
        <v>38</v>
      </c>
      <c r="E398" s="17" t="s">
        <v>38</v>
      </c>
      <c r="F398" s="17"/>
      <c r="G398" s="17" t="str">
        <f>Table1[[#This Row],[DESCRIPCION_POSICION]]</f>
        <v>Ayudante tareas generales</v>
      </c>
      <c r="H398" s="49"/>
      <c r="I398" s="17" t="s">
        <v>40</v>
      </c>
      <c r="J398" s="17" t="s">
        <v>68</v>
      </c>
      <c r="K398" s="17" t="s">
        <v>86</v>
      </c>
      <c r="L398" s="36" t="s">
        <v>609</v>
      </c>
      <c r="M398" s="103"/>
      <c r="N398" s="47" t="s">
        <v>1027</v>
      </c>
      <c r="O398" s="36" t="str">
        <f>VLOOKUP(L398,CECOs!A:B,2,0)</f>
        <v>Tareas Generales Planta FP</v>
      </c>
      <c r="P398" s="17" t="e">
        <f>VLOOKUP(B:B,CECOs!G:I,3,FALSE)</f>
        <v>#N/A</v>
      </c>
      <c r="Q398" s="17" t="str">
        <f>IF(_xlfn.XLOOKUP(L398,CECOs!A:A,CECOs!C:C,"")="",K398,_xlfn.XLOOKUP(L398,CECOs!A:A,CECOs!C:C,""))</f>
        <v>HUARTE, ESTEBAN</v>
      </c>
      <c r="R398" s="17" t="s">
        <v>38</v>
      </c>
      <c r="S398" s="17" t="s">
        <v>45</v>
      </c>
      <c r="T398" s="17"/>
      <c r="U398" s="17" t="s">
        <v>217</v>
      </c>
      <c r="V398" s="17" t="s">
        <v>95</v>
      </c>
      <c r="W398" s="17"/>
      <c r="X398" s="17"/>
      <c r="Y398" s="17"/>
      <c r="Z398" s="17"/>
      <c r="AA398" s="17"/>
      <c r="AB398" s="17" t="s">
        <v>49</v>
      </c>
      <c r="AC398" s="17"/>
      <c r="AD398" s="17" t="s">
        <v>1028</v>
      </c>
      <c r="AE398" s="17"/>
      <c r="AF398" s="17"/>
      <c r="AG398" s="17"/>
      <c r="AH398" s="17"/>
      <c r="AI398" s="17"/>
      <c r="AJ398" s="17"/>
      <c r="AK398" s="29"/>
    </row>
    <row r="399" spans="1:37" ht="9.9499999999999993">
      <c r="A399" s="29">
        <v>46266</v>
      </c>
      <c r="B399" s="22">
        <v>3425376</v>
      </c>
      <c r="C399" s="17" t="s">
        <v>932</v>
      </c>
      <c r="D399" s="17" t="s">
        <v>38</v>
      </c>
      <c r="E399" s="17" t="s">
        <v>38</v>
      </c>
      <c r="F399" s="17"/>
      <c r="G399" s="17" t="str">
        <f>Table1[[#This Row],[DESCRIPCION_POSICION]]</f>
        <v>Ayudante tareas generales</v>
      </c>
      <c r="H399" s="49"/>
      <c r="I399" s="17" t="s">
        <v>40</v>
      </c>
      <c r="J399" s="17" t="s">
        <v>68</v>
      </c>
      <c r="K399" s="17" t="s">
        <v>86</v>
      </c>
      <c r="L399" s="36" t="s">
        <v>609</v>
      </c>
      <c r="M399" s="103"/>
      <c r="N399" s="47" t="s">
        <v>1027</v>
      </c>
      <c r="O399" s="36" t="str">
        <f>VLOOKUP(L399,CECOs!A:B,2,0)</f>
        <v>Tareas Generales Planta FP</v>
      </c>
      <c r="P399" s="17" t="e">
        <f>VLOOKUP(B:B,CECOs!G:I,3,FALSE)</f>
        <v>#N/A</v>
      </c>
      <c r="Q399" s="17" t="str">
        <f>IF(_xlfn.XLOOKUP(L399,CECOs!A:A,CECOs!C:C,"")="",K399,_xlfn.XLOOKUP(L399,CECOs!A:A,CECOs!C:C,""))</f>
        <v>HUARTE, ESTEBAN</v>
      </c>
      <c r="R399" s="17" t="s">
        <v>38</v>
      </c>
      <c r="S399" s="17" t="s">
        <v>45</v>
      </c>
      <c r="T399" s="17"/>
      <c r="U399" s="17" t="s">
        <v>217</v>
      </c>
      <c r="V399" s="17" t="s">
        <v>95</v>
      </c>
      <c r="W399" s="17"/>
      <c r="X399" s="17"/>
      <c r="Y399" s="17"/>
      <c r="Z399" s="17"/>
      <c r="AA399" s="17"/>
      <c r="AB399" s="17" t="s">
        <v>49</v>
      </c>
      <c r="AC399" s="17"/>
      <c r="AD399" s="17" t="s">
        <v>1028</v>
      </c>
      <c r="AE399" s="17"/>
      <c r="AF399" s="17"/>
      <c r="AG399" s="17"/>
      <c r="AH399" s="17"/>
      <c r="AI399" s="17"/>
      <c r="AJ399" s="17"/>
      <c r="AK399" s="29"/>
    </row>
    <row r="400" spans="1:37" ht="11.25" customHeight="1">
      <c r="A400" s="29">
        <v>46266</v>
      </c>
      <c r="B400" s="22">
        <v>3423199</v>
      </c>
      <c r="C400" s="17" t="s">
        <v>935</v>
      </c>
      <c r="D400" s="17" t="s">
        <v>38</v>
      </c>
      <c r="E400" s="17" t="s">
        <v>38</v>
      </c>
      <c r="F400" s="17"/>
      <c r="G400" s="17" t="str">
        <f>Table1[[#This Row],[DESCRIPCION_POSICION]]</f>
        <v>Operador Well Services</v>
      </c>
      <c r="H400" s="17" t="s">
        <v>1029</v>
      </c>
      <c r="I400" s="17" t="s">
        <v>40</v>
      </c>
      <c r="J400" s="17" t="s">
        <v>68</v>
      </c>
      <c r="K400" s="36" t="s">
        <v>80</v>
      </c>
      <c r="L400" s="36" t="s">
        <v>683</v>
      </c>
      <c r="M400" s="103"/>
      <c r="N400" s="38" t="s">
        <v>1030</v>
      </c>
      <c r="O400" s="36" t="str">
        <f>VLOOKUP(L400,CECOs!A:B,2,0)</f>
        <v>Oper Well Services FP</v>
      </c>
      <c r="P400" s="17" t="str">
        <f>VLOOKUP(B:B,CECOs!G:I,3,FALSE)</f>
        <v>WellServicesDesfogue</v>
      </c>
      <c r="Q400" s="17" t="str">
        <f>IF(_xlfn.XLOOKUP(L400,CECOs!A:A,CECOs!C:C,"")="",K400,_xlfn.XLOOKUP(L400,CECOs!A:A,CECOs!C:C,""))</f>
        <v>MACIAS, OSCAR  / SAFFE, JULIAN</v>
      </c>
      <c r="R400" s="17" t="s">
        <v>38</v>
      </c>
      <c r="S400" s="17" t="s">
        <v>45</v>
      </c>
      <c r="T400" s="17"/>
      <c r="U400" s="17" t="s">
        <v>217</v>
      </c>
      <c r="V400" s="17" t="s">
        <v>95</v>
      </c>
      <c r="W400" s="17"/>
      <c r="X400" s="17"/>
      <c r="Y400" s="17"/>
      <c r="Z400" s="17"/>
      <c r="AA400" s="17"/>
      <c r="AB400" s="17" t="s">
        <v>49</v>
      </c>
      <c r="AC400" s="17"/>
      <c r="AD400" s="17" t="s">
        <v>50</v>
      </c>
      <c r="AE400" s="17"/>
      <c r="AF400" s="17"/>
      <c r="AG400" s="17"/>
      <c r="AH400" s="17"/>
      <c r="AI400" s="17"/>
      <c r="AJ400" s="17"/>
      <c r="AK400" s="29"/>
    </row>
    <row r="401" spans="1:37" ht="11.25" customHeight="1">
      <c r="A401" s="29">
        <v>46266</v>
      </c>
      <c r="B401" s="22">
        <v>3418979</v>
      </c>
      <c r="C401" s="17" t="s">
        <v>935</v>
      </c>
      <c r="D401" s="17" t="s">
        <v>38</v>
      </c>
      <c r="E401" s="17" t="s">
        <v>38</v>
      </c>
      <c r="F401" s="17"/>
      <c r="G401" s="17" t="str">
        <f>Table1[[#This Row],[DESCRIPCION_POSICION]]</f>
        <v>Operador Well Services</v>
      </c>
      <c r="H401" s="17" t="s">
        <v>1031</v>
      </c>
      <c r="I401" s="17" t="s">
        <v>40</v>
      </c>
      <c r="J401" s="17" t="s">
        <v>68</v>
      </c>
      <c r="K401" s="36" t="s">
        <v>80</v>
      </c>
      <c r="L401" s="36" t="s">
        <v>683</v>
      </c>
      <c r="M401" s="103"/>
      <c r="N401" s="38" t="s">
        <v>1032</v>
      </c>
      <c r="O401" s="36" t="str">
        <f>VLOOKUP(L401,CECOs!A:B,2,0)</f>
        <v>Oper Well Services FP</v>
      </c>
      <c r="P401" s="17" t="str">
        <f>VLOOKUP(B:B,CECOs!G:I,3,FALSE)</f>
        <v>WellServicesDesfogue</v>
      </c>
      <c r="Q401" s="17" t="str">
        <f>IF(_xlfn.XLOOKUP(L401,CECOs!A:A,CECOs!C:C,"")="",K401,_xlfn.XLOOKUP(L401,CECOs!A:A,CECOs!C:C,""))</f>
        <v>MACIAS, OSCAR  / SAFFE, JULIAN</v>
      </c>
      <c r="R401" s="17" t="s">
        <v>38</v>
      </c>
      <c r="S401" s="17" t="s">
        <v>45</v>
      </c>
      <c r="T401" s="17"/>
      <c r="U401" s="17" t="s">
        <v>217</v>
      </c>
      <c r="V401" s="17" t="s">
        <v>95</v>
      </c>
      <c r="W401" s="17"/>
      <c r="X401" s="17"/>
      <c r="Y401" s="17"/>
      <c r="Z401" s="17"/>
      <c r="AA401" s="17"/>
      <c r="AB401" s="17" t="s">
        <v>49</v>
      </c>
      <c r="AC401" s="17"/>
      <c r="AD401" s="17" t="s">
        <v>50</v>
      </c>
      <c r="AE401" s="17"/>
      <c r="AF401" s="17"/>
      <c r="AG401" s="17"/>
      <c r="AH401" s="17"/>
      <c r="AI401" s="17"/>
      <c r="AJ401" s="17"/>
      <c r="AK401" s="29"/>
    </row>
    <row r="402" spans="1:37" ht="11.25" customHeight="1">
      <c r="A402" s="29">
        <v>46266</v>
      </c>
      <c r="B402" s="22">
        <v>3423200</v>
      </c>
      <c r="C402" s="17" t="s">
        <v>935</v>
      </c>
      <c r="D402" s="17" t="s">
        <v>38</v>
      </c>
      <c r="E402" s="17" t="s">
        <v>38</v>
      </c>
      <c r="F402" s="17"/>
      <c r="G402" s="17" t="str">
        <f>Table1[[#This Row],[DESCRIPCION_POSICION]]</f>
        <v>Operador Well Services</v>
      </c>
      <c r="H402" s="17" t="s">
        <v>1033</v>
      </c>
      <c r="I402" s="17" t="s">
        <v>40</v>
      </c>
      <c r="J402" s="17" t="s">
        <v>68</v>
      </c>
      <c r="K402" s="36" t="s">
        <v>80</v>
      </c>
      <c r="L402" s="36" t="s">
        <v>683</v>
      </c>
      <c r="M402" s="103"/>
      <c r="N402" s="38" t="s">
        <v>1034</v>
      </c>
      <c r="O402" s="36" t="str">
        <f>VLOOKUP(L402,CECOs!A:B,2,0)</f>
        <v>Oper Well Services FP</v>
      </c>
      <c r="P402" s="17" t="str">
        <f>VLOOKUP(B:B,CECOs!G:I,3,FALSE)</f>
        <v>WellServicesDesfogue</v>
      </c>
      <c r="Q402" s="17" t="str">
        <f>IF(_xlfn.XLOOKUP(L402,CECOs!A:A,CECOs!C:C,"")="",K402,_xlfn.XLOOKUP(L402,CECOs!A:A,CECOs!C:C,""))</f>
        <v>MACIAS, OSCAR  / SAFFE, JULIAN</v>
      </c>
      <c r="R402" s="17" t="s">
        <v>38</v>
      </c>
      <c r="S402" s="17" t="s">
        <v>45</v>
      </c>
      <c r="T402" s="17"/>
      <c r="U402" s="17" t="s">
        <v>217</v>
      </c>
      <c r="V402" s="17" t="s">
        <v>95</v>
      </c>
      <c r="W402" s="17"/>
      <c r="X402" s="17"/>
      <c r="Y402" s="17"/>
      <c r="Z402" s="17"/>
      <c r="AA402" s="17"/>
      <c r="AB402" s="17" t="s">
        <v>49</v>
      </c>
      <c r="AC402" s="17"/>
      <c r="AD402" s="17" t="s">
        <v>50</v>
      </c>
      <c r="AE402" s="17"/>
      <c r="AF402" s="17"/>
      <c r="AG402" s="17"/>
      <c r="AH402" s="17"/>
      <c r="AI402" s="17"/>
      <c r="AJ402" s="17"/>
      <c r="AK402" s="29"/>
    </row>
    <row r="403" spans="1:37" ht="11.25" customHeight="1">
      <c r="A403" s="29">
        <v>46266</v>
      </c>
      <c r="B403" s="22">
        <v>3423198</v>
      </c>
      <c r="C403" s="17" t="s">
        <v>935</v>
      </c>
      <c r="D403" s="17" t="s">
        <v>38</v>
      </c>
      <c r="E403" s="17" t="s">
        <v>38</v>
      </c>
      <c r="F403" s="17"/>
      <c r="G403" s="17" t="str">
        <f>Table1[[#This Row],[DESCRIPCION_POSICION]]</f>
        <v>Operador Well Services</v>
      </c>
      <c r="H403" s="17" t="s">
        <v>1035</v>
      </c>
      <c r="I403" s="17" t="s">
        <v>40</v>
      </c>
      <c r="J403" s="17" t="s">
        <v>68</v>
      </c>
      <c r="K403" s="36" t="s">
        <v>80</v>
      </c>
      <c r="L403" s="36" t="s">
        <v>683</v>
      </c>
      <c r="M403" s="103"/>
      <c r="N403" s="38" t="s">
        <v>1036</v>
      </c>
      <c r="O403" s="36" t="str">
        <f>VLOOKUP(L403,CECOs!A:B,2,0)</f>
        <v>Oper Well Services FP</v>
      </c>
      <c r="P403" s="17" t="str">
        <f>VLOOKUP(B:B,CECOs!G:I,3,FALSE)</f>
        <v>WellServicesDesfogue</v>
      </c>
      <c r="Q403" s="17" t="str">
        <f>IF(_xlfn.XLOOKUP(L403,CECOs!A:A,CECOs!C:C,"")="",K403,_xlfn.XLOOKUP(L403,CECOs!A:A,CECOs!C:C,""))</f>
        <v>MACIAS, OSCAR  / SAFFE, JULIAN</v>
      </c>
      <c r="R403" s="17" t="s">
        <v>38</v>
      </c>
      <c r="S403" s="17" t="s">
        <v>45</v>
      </c>
      <c r="T403" s="17"/>
      <c r="U403" s="17" t="s">
        <v>217</v>
      </c>
      <c r="V403" s="17" t="s">
        <v>95</v>
      </c>
      <c r="W403" s="17"/>
      <c r="X403" s="17"/>
      <c r="Y403" s="17"/>
      <c r="Z403" s="17"/>
      <c r="AA403" s="17"/>
      <c r="AB403" s="17" t="s">
        <v>49</v>
      </c>
      <c r="AC403" s="17"/>
      <c r="AD403" s="17" t="s">
        <v>50</v>
      </c>
      <c r="AE403" s="17"/>
      <c r="AF403" s="17"/>
      <c r="AG403" s="17"/>
      <c r="AH403" s="17"/>
      <c r="AI403" s="17"/>
      <c r="AJ403" s="17"/>
      <c r="AK403" s="29"/>
    </row>
    <row r="404" spans="1:37" s="69" customFormat="1" ht="11.25" customHeight="1">
      <c r="A404" s="29">
        <v>46266</v>
      </c>
      <c r="B404" s="66">
        <v>3434337</v>
      </c>
      <c r="C404" s="66" t="s">
        <v>274</v>
      </c>
      <c r="D404" s="66" t="s">
        <v>38</v>
      </c>
      <c r="E404" s="66" t="s">
        <v>38</v>
      </c>
      <c r="F404" s="66"/>
      <c r="G404" s="66" t="str">
        <f>Table1[[#This Row],[DESCRIPCION_POSICION]]</f>
        <v>Operador Especializado de Plantas</v>
      </c>
      <c r="H404" s="66"/>
      <c r="I404" s="66" t="s">
        <v>40</v>
      </c>
      <c r="J404" s="66" t="s">
        <v>68</v>
      </c>
      <c r="K404" s="66" t="s">
        <v>86</v>
      </c>
      <c r="L404" s="68" t="s">
        <v>536</v>
      </c>
      <c r="M404" s="111"/>
      <c r="N404" s="70"/>
      <c r="O404" s="68" t="str">
        <f>VLOOKUP(L404,CECOs!A:B,2,0)</f>
        <v>Oper. PTA FP</v>
      </c>
      <c r="P404" s="66" t="str">
        <f>VLOOKUP(B:B,CECOs!G:I,3,FALSE)</f>
        <v>OperadordePlantadeAguaWatertransfer</v>
      </c>
      <c r="Q404" s="66" t="str">
        <f>IF(_xlfn.XLOOKUP(L404,CECOs!A:A,CECOs!C:C,"")="",K404,_xlfn.XLOOKUP(L404,CECOs!A:A,CECOs!C:C,""))</f>
        <v>HUARTE, ESTEBAN</v>
      </c>
      <c r="R404" s="66" t="s">
        <v>38</v>
      </c>
      <c r="S404" s="66" t="s">
        <v>45</v>
      </c>
      <c r="T404" s="66"/>
      <c r="U404" s="66" t="s">
        <v>217</v>
      </c>
      <c r="V404" s="66" t="s">
        <v>95</v>
      </c>
      <c r="W404" s="66"/>
      <c r="X404" s="66"/>
      <c r="Y404" s="66"/>
      <c r="Z404" s="66"/>
      <c r="AA404" s="66"/>
      <c r="AB404" s="66" t="s">
        <v>49</v>
      </c>
      <c r="AC404" s="66"/>
      <c r="AD404" s="66" t="s">
        <v>1028</v>
      </c>
      <c r="AE404" s="66"/>
      <c r="AF404" s="66"/>
      <c r="AG404" s="66"/>
      <c r="AH404" s="66"/>
      <c r="AI404" s="66"/>
      <c r="AJ404" s="66"/>
      <c r="AK404" s="67"/>
    </row>
    <row r="405" spans="1:37" ht="11.25" customHeight="1">
      <c r="A405" s="29">
        <v>46266</v>
      </c>
      <c r="B405" s="22">
        <v>3434593</v>
      </c>
      <c r="C405" s="17" t="s">
        <v>307</v>
      </c>
      <c r="D405" s="17" t="s">
        <v>38</v>
      </c>
      <c r="E405" s="17" t="s">
        <v>38</v>
      </c>
      <c r="F405" s="17"/>
      <c r="G405" s="17" t="str">
        <f>Table1[[#This Row],[DESCRIPCION_POSICION]]</f>
        <v>Chemical Treatment Lead Supervisor</v>
      </c>
      <c r="H405" s="17" t="s">
        <v>1037</v>
      </c>
      <c r="I405" s="17" t="s">
        <v>40</v>
      </c>
      <c r="J405" s="17" t="s">
        <v>68</v>
      </c>
      <c r="K405" s="44" t="s">
        <v>1038</v>
      </c>
      <c r="L405" s="36" t="s">
        <v>304</v>
      </c>
      <c r="M405" s="112"/>
      <c r="N405" s="38" t="s">
        <v>1039</v>
      </c>
      <c r="O405" s="45" t="str">
        <f>VLOOKUP(L405,CECOs!A:B,2,0)</f>
        <v>Otras especialidades</v>
      </c>
      <c r="P405" s="17">
        <f>VLOOKUP(B:B,CECOs!G:I,3,FALSE)</f>
        <v>0</v>
      </c>
      <c r="Q405" s="17" t="str">
        <f>IF(_xlfn.XLOOKUP(L405,CECOs!A:A,CECOs!C:C,"")="",K405,_xlfn.XLOOKUP(L405,CECOs!A:A,CECOs!C:C,""))</f>
        <v>Barrientos Ivan</v>
      </c>
      <c r="R405" s="17" t="s">
        <v>38</v>
      </c>
      <c r="S405" s="17" t="s">
        <v>45</v>
      </c>
      <c r="T405" s="17"/>
      <c r="U405" s="17" t="s">
        <v>94</v>
      </c>
      <c r="V405" s="17" t="s">
        <v>48</v>
      </c>
      <c r="W405" s="17"/>
      <c r="X405" s="17"/>
      <c r="Y405" s="17"/>
      <c r="Z405" s="17"/>
      <c r="AA405" s="17"/>
      <c r="AB405" s="17" t="s">
        <v>49</v>
      </c>
      <c r="AC405" s="17"/>
      <c r="AD405" s="17" t="s">
        <v>50</v>
      </c>
      <c r="AE405" s="17"/>
      <c r="AF405" s="17"/>
      <c r="AG405" s="17"/>
      <c r="AH405" s="17"/>
      <c r="AI405" s="17"/>
      <c r="AJ405" s="17"/>
      <c r="AK405" s="29"/>
    </row>
    <row r="406" spans="1:37" ht="11.25" customHeight="1">
      <c r="A406" s="29">
        <v>46266</v>
      </c>
      <c r="B406" s="22">
        <v>3435455</v>
      </c>
      <c r="C406" s="17" t="s">
        <v>932</v>
      </c>
      <c r="D406" s="17" t="s">
        <v>38</v>
      </c>
      <c r="E406" s="17" t="s">
        <v>38</v>
      </c>
      <c r="F406" s="17"/>
      <c r="G406" s="17" t="str">
        <f>Table1[[#This Row],[DESCRIPCION_POSICION]]</f>
        <v>Ayudante tareas generales</v>
      </c>
      <c r="H406" s="53" t="s">
        <v>1040</v>
      </c>
      <c r="I406" s="17" t="s">
        <v>40</v>
      </c>
      <c r="J406" s="17" t="s">
        <v>68</v>
      </c>
      <c r="K406" s="17" t="s">
        <v>1041</v>
      </c>
      <c r="L406" s="36" t="s">
        <v>829</v>
      </c>
      <c r="M406" s="103"/>
      <c r="N406" s="26" t="s">
        <v>1042</v>
      </c>
      <c r="O406" s="36" t="str">
        <f>VLOOKUP(L406,CECOs!A:B,2,0)</f>
        <v>T. Grales Serge LT2E</v>
      </c>
      <c r="P406" s="17" t="e">
        <f>VLOOKUP(B:B,CECOs!G:I,3,FALSE)</f>
        <v>#N/A</v>
      </c>
      <c r="Q406" s="17" t="str">
        <f>IF(_xlfn.XLOOKUP(L406,CECOs!A:A,CECOs!C:C,"")="",K406,_xlfn.XLOOKUP(L406,CECOs!A:A,CECOs!C:C,""))</f>
        <v>MERCADO, MAURICIO / FREDES, RUBEN</v>
      </c>
      <c r="R406" s="17" t="s">
        <v>38</v>
      </c>
      <c r="S406" s="17" t="s">
        <v>45</v>
      </c>
      <c r="T406" s="17"/>
      <c r="U406" s="17" t="s">
        <v>143</v>
      </c>
      <c r="V406" s="17" t="s">
        <v>95</v>
      </c>
      <c r="W406" s="17"/>
      <c r="X406" s="17"/>
      <c r="Y406" s="17"/>
      <c r="Z406" s="17"/>
      <c r="AA406" s="17"/>
      <c r="AB406" s="17" t="s">
        <v>49</v>
      </c>
      <c r="AC406" s="17"/>
      <c r="AD406" s="17" t="s">
        <v>50</v>
      </c>
      <c r="AE406" s="17"/>
      <c r="AF406" s="17"/>
      <c r="AG406" s="17"/>
      <c r="AH406" s="17"/>
      <c r="AI406" s="17"/>
      <c r="AJ406" s="17"/>
      <c r="AK406" s="29"/>
    </row>
    <row r="407" spans="1:37" ht="11.25" customHeight="1">
      <c r="A407" s="29">
        <v>46266</v>
      </c>
      <c r="B407" s="22">
        <v>3424801</v>
      </c>
      <c r="C407" s="17" t="s">
        <v>1043</v>
      </c>
      <c r="D407" s="17" t="s">
        <v>38</v>
      </c>
      <c r="E407" s="17" t="s">
        <v>38</v>
      </c>
      <c r="F407" s="17"/>
      <c r="G407" s="17"/>
      <c r="H407" s="17" t="s">
        <v>1044</v>
      </c>
      <c r="I407" s="17" t="s">
        <v>40</v>
      </c>
      <c r="J407" s="17" t="s">
        <v>68</v>
      </c>
      <c r="K407" s="17" t="s">
        <v>832</v>
      </c>
      <c r="L407" s="36" t="s">
        <v>854</v>
      </c>
      <c r="M407" s="103"/>
      <c r="N407" s="88" t="s">
        <v>1045</v>
      </c>
      <c r="O407" s="36" t="str">
        <f>VLOOKUP(L407,CECOs!A:B,2,0)</f>
        <v>Aux. Almacén LT2E</v>
      </c>
      <c r="P407" s="17" t="str">
        <f>VLOOKUP(B:B,CECOs!G:I,3,FALSE)</f>
        <v>AlmacenNoconvencional</v>
      </c>
      <c r="Q407" s="17" t="str">
        <f>IF(_xlfn.XLOOKUP(L407,CECOs!A:A,CECOs!C:C,"")="",K407,_xlfn.XLOOKUP(L407,CECOs!A:A,CECOs!C:C,""))</f>
        <v>MERCADO, MAURICIO / FREDES, RUBEN</v>
      </c>
      <c r="R407" s="17" t="s">
        <v>38</v>
      </c>
      <c r="S407" s="17" t="s">
        <v>45</v>
      </c>
      <c r="T407" s="17"/>
      <c r="U407" s="17" t="s">
        <v>371</v>
      </c>
      <c r="V407" s="17" t="s">
        <v>95</v>
      </c>
      <c r="W407" s="17"/>
      <c r="X407" s="17"/>
      <c r="Y407" s="17"/>
      <c r="Z407" s="17"/>
      <c r="AA407" s="17"/>
      <c r="AB407" s="17" t="s">
        <v>49</v>
      </c>
      <c r="AC407" s="17"/>
      <c r="AD407" s="17" t="s">
        <v>50</v>
      </c>
      <c r="AE407" s="17"/>
      <c r="AF407" s="17"/>
      <c r="AG407" s="17"/>
      <c r="AH407" s="17"/>
      <c r="AI407" s="17"/>
      <c r="AJ407" s="17"/>
      <c r="AK407" s="29"/>
    </row>
    <row r="408" spans="1:37" ht="11.25" customHeight="1">
      <c r="A408" s="29">
        <v>46266</v>
      </c>
      <c r="B408" s="22">
        <v>3424802</v>
      </c>
      <c r="C408" s="17" t="s">
        <v>1043</v>
      </c>
      <c r="D408" s="17" t="s">
        <v>38</v>
      </c>
      <c r="E408" s="17" t="s">
        <v>38</v>
      </c>
      <c r="F408" s="17"/>
      <c r="G408" s="17"/>
      <c r="H408" s="49"/>
      <c r="I408" s="17" t="s">
        <v>40</v>
      </c>
      <c r="J408" s="17" t="s">
        <v>68</v>
      </c>
      <c r="K408" s="17" t="s">
        <v>832</v>
      </c>
      <c r="L408" s="36" t="s">
        <v>854</v>
      </c>
      <c r="M408" s="103"/>
      <c r="N408" s="90" t="s">
        <v>1046</v>
      </c>
      <c r="O408" s="36" t="str">
        <f>VLOOKUP(L408,CECOs!A:B,2,0)</f>
        <v>Aux. Almacén LT2E</v>
      </c>
      <c r="P408" s="17" t="str">
        <f>VLOOKUP(B:B,CECOs!G:I,3,FALSE)</f>
        <v>AlmacenNoconvencional</v>
      </c>
      <c r="Q408" s="17" t="str">
        <f>IF(_xlfn.XLOOKUP(L408,CECOs!A:A,CECOs!C:C,"")="",K408,_xlfn.XLOOKUP(L408,CECOs!A:A,CECOs!C:C,""))</f>
        <v>MERCADO, MAURICIO / FREDES, RUBEN</v>
      </c>
      <c r="R408" s="17" t="s">
        <v>38</v>
      </c>
      <c r="S408" s="17" t="s">
        <v>45</v>
      </c>
      <c r="T408" s="17"/>
      <c r="U408" s="17" t="s">
        <v>371</v>
      </c>
      <c r="V408" s="17" t="s">
        <v>95</v>
      </c>
      <c r="W408" s="17"/>
      <c r="X408" s="17"/>
      <c r="Y408" s="17"/>
      <c r="Z408" s="17"/>
      <c r="AA408" s="17"/>
      <c r="AB408" s="17" t="s">
        <v>49</v>
      </c>
      <c r="AC408" s="17"/>
      <c r="AD408" s="17" t="s">
        <v>50</v>
      </c>
      <c r="AE408" s="17"/>
      <c r="AF408" s="17"/>
      <c r="AG408" s="17"/>
      <c r="AH408" s="17"/>
      <c r="AI408" s="17"/>
      <c r="AJ408" s="17"/>
      <c r="AK408" s="29"/>
    </row>
    <row r="409" spans="1:37" ht="11.25" customHeight="1">
      <c r="A409" s="29">
        <v>46266</v>
      </c>
      <c r="B409" s="22">
        <v>3424803</v>
      </c>
      <c r="C409" s="17" t="s">
        <v>1043</v>
      </c>
      <c r="D409" s="17" t="s">
        <v>38</v>
      </c>
      <c r="E409" s="17" t="s">
        <v>38</v>
      </c>
      <c r="F409" s="17"/>
      <c r="G409" s="17"/>
      <c r="H409" s="17" t="s">
        <v>1047</v>
      </c>
      <c r="I409" s="17" t="s">
        <v>40</v>
      </c>
      <c r="J409" s="17" t="s">
        <v>68</v>
      </c>
      <c r="K409" s="17" t="s">
        <v>832</v>
      </c>
      <c r="L409" s="36" t="s">
        <v>854</v>
      </c>
      <c r="M409" s="103"/>
      <c r="N409" s="88" t="s">
        <v>1048</v>
      </c>
      <c r="O409" s="36" t="str">
        <f>VLOOKUP(L409,CECOs!A:B,2,0)</f>
        <v>Aux. Almacén LT2E</v>
      </c>
      <c r="P409" s="17" t="str">
        <f>VLOOKUP(B:B,CECOs!G:I,3,FALSE)</f>
        <v>AlmacenNoconvencional</v>
      </c>
      <c r="Q409" s="17" t="str">
        <f>IF(_xlfn.XLOOKUP(L409,CECOs!A:A,CECOs!C:C,"")="",K409,_xlfn.XLOOKUP(L409,CECOs!A:A,CECOs!C:C,""))</f>
        <v>MERCADO, MAURICIO / FREDES, RUBEN</v>
      </c>
      <c r="R409" s="17" t="s">
        <v>38</v>
      </c>
      <c r="S409" s="17" t="s">
        <v>45</v>
      </c>
      <c r="T409" s="17"/>
      <c r="U409" s="17" t="s">
        <v>371</v>
      </c>
      <c r="V409" s="17" t="s">
        <v>95</v>
      </c>
      <c r="W409" s="17"/>
      <c r="X409" s="17"/>
      <c r="Y409" s="17"/>
      <c r="Z409" s="17"/>
      <c r="AA409" s="17"/>
      <c r="AB409" s="17" t="s">
        <v>49</v>
      </c>
      <c r="AC409" s="17"/>
      <c r="AD409" s="17" t="s">
        <v>50</v>
      </c>
      <c r="AE409" s="17"/>
      <c r="AF409" s="17"/>
      <c r="AG409" s="17"/>
      <c r="AH409" s="17"/>
      <c r="AI409" s="17"/>
      <c r="AJ409" s="17"/>
      <c r="AK409" s="29"/>
    </row>
    <row r="410" spans="1:37" ht="11.25" customHeight="1">
      <c r="A410" s="29">
        <v>46266</v>
      </c>
      <c r="B410" s="22">
        <v>3437773</v>
      </c>
      <c r="C410" s="17" t="s">
        <v>1043</v>
      </c>
      <c r="D410" s="17" t="s">
        <v>38</v>
      </c>
      <c r="E410" s="17" t="s">
        <v>38</v>
      </c>
      <c r="F410" s="17"/>
      <c r="G410" s="17"/>
      <c r="H410" s="49"/>
      <c r="I410" s="17" t="s">
        <v>40</v>
      </c>
      <c r="J410" s="17" t="s">
        <v>68</v>
      </c>
      <c r="K410" s="17" t="s">
        <v>832</v>
      </c>
      <c r="L410" s="36" t="s">
        <v>854</v>
      </c>
      <c r="M410" s="103"/>
      <c r="N410" s="90" t="s">
        <v>1046</v>
      </c>
      <c r="O410" s="36" t="str">
        <f>VLOOKUP(L410,CECOs!A:B,2,0)</f>
        <v>Aux. Almacén LT2E</v>
      </c>
      <c r="P410" s="17" t="e">
        <f>VLOOKUP(B:B,CECOs!G:I,3,FALSE)</f>
        <v>#N/A</v>
      </c>
      <c r="Q410" s="17" t="str">
        <f>IF(_xlfn.XLOOKUP(L410,CECOs!A:A,CECOs!C:C,"")="",K410,_xlfn.XLOOKUP(L410,CECOs!A:A,CECOs!C:C,""))</f>
        <v>MERCADO, MAURICIO / FREDES, RUBEN</v>
      </c>
      <c r="R410" s="17" t="s">
        <v>38</v>
      </c>
      <c r="S410" s="17" t="s">
        <v>45</v>
      </c>
      <c r="T410" s="17"/>
      <c r="U410" s="17" t="s">
        <v>371</v>
      </c>
      <c r="V410" s="17" t="s">
        <v>95</v>
      </c>
      <c r="W410" s="17"/>
      <c r="X410" s="17"/>
      <c r="Y410" s="17"/>
      <c r="Z410" s="17"/>
      <c r="AA410" s="17"/>
      <c r="AB410" s="17" t="s">
        <v>49</v>
      </c>
      <c r="AC410" s="17"/>
      <c r="AD410" s="17" t="s">
        <v>50</v>
      </c>
      <c r="AE410" s="17"/>
      <c r="AF410" s="17"/>
      <c r="AG410" s="17"/>
      <c r="AH410" s="17"/>
      <c r="AI410" s="17"/>
      <c r="AJ410" s="17"/>
      <c r="AK410" s="29"/>
    </row>
    <row r="411" spans="1:37" ht="11.25" customHeight="1">
      <c r="A411" s="29">
        <v>46266</v>
      </c>
      <c r="B411" s="22">
        <v>3437480</v>
      </c>
      <c r="C411" s="17" t="s">
        <v>1043</v>
      </c>
      <c r="D411" s="17" t="s">
        <v>38</v>
      </c>
      <c r="E411" s="17" t="s">
        <v>38</v>
      </c>
      <c r="F411" s="17"/>
      <c r="G411" s="17" t="str">
        <f>Table1[[#This Row],[DESCRIPCION_POSICION]]</f>
        <v>Ayudante de almacén</v>
      </c>
      <c r="H411" s="53" t="s">
        <v>1049</v>
      </c>
      <c r="I411" s="17" t="s">
        <v>40</v>
      </c>
      <c r="J411" s="17" t="s">
        <v>68</v>
      </c>
      <c r="K411" s="17" t="s">
        <v>832</v>
      </c>
      <c r="L411" s="36" t="s">
        <v>854</v>
      </c>
      <c r="M411" s="103"/>
      <c r="N411" s="88" t="s">
        <v>1050</v>
      </c>
      <c r="O411" s="36" t="str">
        <f>VLOOKUP(L411,CECOs!A:B,2,0)</f>
        <v>Aux. Almacén LT2E</v>
      </c>
      <c r="P411" s="17" t="e">
        <f>VLOOKUP(B:B,CECOs!G:I,3,FALSE)</f>
        <v>#N/A</v>
      </c>
      <c r="Q411" s="17" t="str">
        <f>IF(_xlfn.XLOOKUP(L411,CECOs!A:A,CECOs!C:C,"")="",K411,_xlfn.XLOOKUP(L411,CECOs!A:A,CECOs!C:C,""))</f>
        <v>MERCADO, MAURICIO / FREDES, RUBEN</v>
      </c>
      <c r="R411" s="17" t="s">
        <v>38</v>
      </c>
      <c r="S411" s="17" t="s">
        <v>45</v>
      </c>
      <c r="T411" s="17"/>
      <c r="U411" s="17" t="s">
        <v>371</v>
      </c>
      <c r="V411" s="17" t="s">
        <v>95</v>
      </c>
      <c r="W411" s="17"/>
      <c r="X411" s="17"/>
      <c r="Y411" s="17"/>
      <c r="Z411" s="17"/>
      <c r="AA411" s="17"/>
      <c r="AB411" s="17" t="s">
        <v>49</v>
      </c>
      <c r="AC411" s="17"/>
      <c r="AD411" s="17" t="s">
        <v>50</v>
      </c>
      <c r="AE411" s="17"/>
      <c r="AF411" s="17"/>
      <c r="AG411" s="17"/>
      <c r="AH411" s="17"/>
      <c r="AI411" s="17"/>
      <c r="AJ411" s="17"/>
      <c r="AK411" s="29"/>
    </row>
    <row r="412" spans="1:37" ht="11.25" customHeight="1">
      <c r="A412" s="29">
        <v>46266</v>
      </c>
      <c r="B412" s="22">
        <v>3437777</v>
      </c>
      <c r="C412" s="17" t="s">
        <v>1051</v>
      </c>
      <c r="D412" s="17" t="s">
        <v>38</v>
      </c>
      <c r="E412" s="17" t="s">
        <v>38</v>
      </c>
      <c r="F412" s="17"/>
      <c r="G412" s="17" t="str">
        <f>Table1[[#This Row],[DESCRIPCION_POSICION]]</f>
        <v xml:space="preserve">Operador de Campo </v>
      </c>
      <c r="H412" s="53" t="s">
        <v>1052</v>
      </c>
      <c r="I412" s="17" t="s">
        <v>40</v>
      </c>
      <c r="J412" s="17" t="s">
        <v>68</v>
      </c>
      <c r="K412" s="17" t="s">
        <v>1041</v>
      </c>
      <c r="L412" s="36" t="s">
        <v>476</v>
      </c>
      <c r="M412" s="103"/>
      <c r="N412" s="82" t="s">
        <v>1053</v>
      </c>
      <c r="O412" s="36" t="str">
        <f>VLOOKUP(L412,CECOs!A:B,2,0)</f>
        <v>Oper campo LT2E</v>
      </c>
      <c r="P412" s="17" t="str">
        <f>VLOOKUP(B:B,CECOs!G:I,3,FALSE)</f>
        <v>OperadordeCampo</v>
      </c>
      <c r="Q412" s="17" t="str">
        <f>IF(_xlfn.XLOOKUP(L412,CECOs!A:A,CECOs!C:C,"")="",K412,_xlfn.XLOOKUP(L412,CECOs!A:A,CECOs!C:C,""))</f>
        <v>MERCADO, MAURICIO / FREDES, RUBEN</v>
      </c>
      <c r="R412" s="17" t="s">
        <v>38</v>
      </c>
      <c r="S412" s="17" t="s">
        <v>45</v>
      </c>
      <c r="T412" s="17"/>
      <c r="U412" s="17" t="s">
        <v>217</v>
      </c>
      <c r="V412" s="17" t="s">
        <v>95</v>
      </c>
      <c r="W412" s="17"/>
      <c r="X412" s="17"/>
      <c r="Y412" s="17"/>
      <c r="Z412" s="17"/>
      <c r="AA412" s="17"/>
      <c r="AB412" s="17" t="s">
        <v>49</v>
      </c>
      <c r="AC412" s="17"/>
      <c r="AD412" s="17" t="s">
        <v>50</v>
      </c>
      <c r="AE412" s="17"/>
      <c r="AF412" s="17"/>
      <c r="AG412" s="17"/>
      <c r="AH412" s="17"/>
      <c r="AI412" s="17"/>
      <c r="AJ412" s="17"/>
      <c r="AK412" s="29"/>
    </row>
    <row r="413" spans="1:37" ht="11.25" customHeight="1">
      <c r="A413" s="29">
        <v>46266</v>
      </c>
      <c r="B413" s="22">
        <v>3437786</v>
      </c>
      <c r="C413" s="17" t="s">
        <v>1051</v>
      </c>
      <c r="D413" s="17" t="s">
        <v>38</v>
      </c>
      <c r="E413" s="17" t="s">
        <v>38</v>
      </c>
      <c r="F413" s="17"/>
      <c r="G413" s="17" t="str">
        <f>Table1[[#This Row],[DESCRIPCION_POSICION]]</f>
        <v xml:space="preserve">Operador de Campo </v>
      </c>
      <c r="H413" s="53" t="s">
        <v>1054</v>
      </c>
      <c r="I413" s="17" t="s">
        <v>40</v>
      </c>
      <c r="J413" s="17" t="s">
        <v>68</v>
      </c>
      <c r="K413" s="17" t="s">
        <v>1041</v>
      </c>
      <c r="L413" s="36" t="s">
        <v>476</v>
      </c>
      <c r="M413" s="103"/>
      <c r="N413" s="82" t="s">
        <v>1055</v>
      </c>
      <c r="O413" s="36" t="str">
        <f>VLOOKUP(L413,CECOs!A:B,2,0)</f>
        <v>Oper campo LT2E</v>
      </c>
      <c r="P413" s="17" t="str">
        <f>VLOOKUP(B:B,CECOs!G:I,3,FALSE)</f>
        <v>Relevooperación</v>
      </c>
      <c r="Q413" s="17" t="str">
        <f>IF(_xlfn.XLOOKUP(L413,CECOs!A:A,CECOs!C:C,"")="",K413,_xlfn.XLOOKUP(L413,CECOs!A:A,CECOs!C:C,""))</f>
        <v>MERCADO, MAURICIO / FREDES, RUBEN</v>
      </c>
      <c r="R413" s="17" t="s">
        <v>38</v>
      </c>
      <c r="S413" s="17" t="s">
        <v>45</v>
      </c>
      <c r="T413" s="17"/>
      <c r="U413" s="17" t="s">
        <v>217</v>
      </c>
      <c r="V413" s="17" t="s">
        <v>95</v>
      </c>
      <c r="W413" s="17"/>
      <c r="X413" s="17"/>
      <c r="Y413" s="17"/>
      <c r="Z413" s="17"/>
      <c r="AA413" s="17"/>
      <c r="AB413" s="17" t="s">
        <v>49</v>
      </c>
      <c r="AC413" s="17"/>
      <c r="AD413" s="17" t="s">
        <v>50</v>
      </c>
      <c r="AE413" s="17"/>
      <c r="AF413" s="17"/>
      <c r="AG413" s="17"/>
      <c r="AH413" s="17"/>
      <c r="AI413" s="17"/>
      <c r="AJ413" s="17"/>
      <c r="AK413" s="29"/>
    </row>
    <row r="414" spans="1:37" ht="11.25" customHeight="1">
      <c r="A414" s="29">
        <v>46266</v>
      </c>
      <c r="B414" s="22">
        <v>3437943</v>
      </c>
      <c r="C414" s="17" t="s">
        <v>1056</v>
      </c>
      <c r="D414" s="17" t="s">
        <v>38</v>
      </c>
      <c r="E414" s="17" t="s">
        <v>38</v>
      </c>
      <c r="F414" s="17"/>
      <c r="G414" s="17"/>
      <c r="H414" s="22" t="s">
        <v>1057</v>
      </c>
      <c r="I414" s="17" t="s">
        <v>40</v>
      </c>
      <c r="J414" s="17" t="s">
        <v>68</v>
      </c>
      <c r="K414" s="17" t="s">
        <v>98</v>
      </c>
      <c r="L414" s="36" t="s">
        <v>99</v>
      </c>
      <c r="M414" s="103"/>
      <c r="N414" s="38" t="s">
        <v>1058</v>
      </c>
      <c r="O414" s="36" t="str">
        <f>VLOOKUP(L414,CECOs!A:B,2,0)</f>
        <v>PJ TLM</v>
      </c>
      <c r="P414" s="17" t="str">
        <f>VLOOKUP(B:B,CECOs!G:I,3,FALSE)</f>
        <v>Supervisoroperativo/Producción</v>
      </c>
      <c r="Q414" s="17" t="str">
        <f>IF(_xlfn.XLOOKUP(L414,CECOs!A:A,CECOs!C:C,"")="",K414,_xlfn.XLOOKUP(L414,CECOs!A:A,CECOs!C:C,""))</f>
        <v>Segura Alejandro</v>
      </c>
      <c r="R414" s="17" t="s">
        <v>38</v>
      </c>
      <c r="S414" s="17" t="s">
        <v>45</v>
      </c>
      <c r="T414" s="17"/>
      <c r="U414" s="17" t="s">
        <v>47</v>
      </c>
      <c r="V414" s="17" t="s">
        <v>48</v>
      </c>
      <c r="W414" s="17"/>
      <c r="X414" s="17"/>
      <c r="Y414" s="17"/>
      <c r="Z414" s="17"/>
      <c r="AA414" s="17"/>
      <c r="AB414" s="17" t="s">
        <v>49</v>
      </c>
      <c r="AC414" s="17"/>
      <c r="AD414" s="17" t="s">
        <v>50</v>
      </c>
      <c r="AE414" s="17"/>
      <c r="AF414" s="17"/>
      <c r="AG414" s="17"/>
      <c r="AH414" s="17"/>
      <c r="AI414" s="17"/>
      <c r="AJ414" s="17"/>
      <c r="AK414" s="29"/>
    </row>
    <row r="415" spans="1:37" ht="11.25" customHeight="1">
      <c r="A415" s="29">
        <v>46266</v>
      </c>
      <c r="B415" s="72">
        <v>3437857</v>
      </c>
      <c r="C415" s="44" t="s">
        <v>1059</v>
      </c>
      <c r="D415" s="17" t="s">
        <v>38</v>
      </c>
      <c r="E415" s="17" t="s">
        <v>38</v>
      </c>
      <c r="F415" s="44"/>
      <c r="G415" s="44"/>
      <c r="H415" s="53" t="s">
        <v>1060</v>
      </c>
      <c r="I415" s="73" t="s">
        <v>40</v>
      </c>
      <c r="J415" s="73" t="s">
        <v>68</v>
      </c>
      <c r="K415" s="44" t="s">
        <v>1061</v>
      </c>
      <c r="L415" s="45" t="s">
        <v>99</v>
      </c>
      <c r="M415" s="112"/>
      <c r="N415" s="82" t="s">
        <v>1062</v>
      </c>
      <c r="O415" s="45" t="str">
        <f>VLOOKUP(L415,CECOs!A:B,2,0)</f>
        <v>PJ TLM</v>
      </c>
      <c r="P415" s="44" t="str">
        <f>VLOOKUP(B:B,CECOs!G:I,3,FALSE)</f>
        <v>SupervisoresSAS/OT</v>
      </c>
      <c r="Q415" s="44" t="str">
        <f>IF(_xlfn.XLOOKUP(L415,CECOs!A:A,CECOs!C:C,"")="",K415,_xlfn.XLOOKUP(L415,CECOs!A:A,CECOs!C:C,""))</f>
        <v>Gomeza Rafael</v>
      </c>
      <c r="R415" s="17" t="s">
        <v>38</v>
      </c>
      <c r="S415" s="17" t="s">
        <v>45</v>
      </c>
      <c r="T415" s="17"/>
      <c r="U415" s="17" t="s">
        <v>371</v>
      </c>
      <c r="V415" s="44" t="s">
        <v>48</v>
      </c>
      <c r="W415" s="44"/>
      <c r="X415" s="44"/>
      <c r="Y415" s="44"/>
      <c r="Z415" s="44"/>
      <c r="AA415" s="44"/>
      <c r="AB415" s="17" t="s">
        <v>49</v>
      </c>
      <c r="AC415" s="17"/>
      <c r="AD415" s="17" t="s">
        <v>50</v>
      </c>
      <c r="AE415" s="17"/>
      <c r="AF415" s="44"/>
      <c r="AG415" s="44"/>
      <c r="AH415" s="44"/>
      <c r="AI415" s="44"/>
      <c r="AJ415" s="44"/>
      <c r="AK415" s="71"/>
    </row>
    <row r="416" spans="1:37" ht="11.25" customHeight="1">
      <c r="A416" s="29">
        <v>46266</v>
      </c>
      <c r="B416" s="22">
        <v>3437950</v>
      </c>
      <c r="C416" s="17" t="s">
        <v>218</v>
      </c>
      <c r="D416" s="17" t="s">
        <v>38</v>
      </c>
      <c r="E416" s="17" t="s">
        <v>38</v>
      </c>
      <c r="F416" s="17"/>
      <c r="G416" s="17"/>
      <c r="H416" s="53" t="s">
        <v>1063</v>
      </c>
      <c r="I416" s="73" t="s">
        <v>40</v>
      </c>
      <c r="J416" s="73" t="s">
        <v>68</v>
      </c>
      <c r="K416" s="44" t="s">
        <v>1064</v>
      </c>
      <c r="L416" s="36" t="s">
        <v>1065</v>
      </c>
      <c r="M416" s="103"/>
      <c r="N416" s="26" t="s">
        <v>1066</v>
      </c>
      <c r="O416" s="36" t="str">
        <f>VLOOKUP(L416,CECOs!A:B,2,0)</f>
        <v>Sup Eléctrico COM y PEM</v>
      </c>
      <c r="P416" s="17" t="str">
        <f>VLOOKUP(B:B,CECOs!G:I,3,FALSE)</f>
        <v>Supervisoroperativo/Producción</v>
      </c>
      <c r="Q416" s="17" t="str">
        <f>IF(_xlfn.XLOOKUP(L416,CECOs!A:A,CECOs!C:C,"")="",K416,_xlfn.XLOOKUP(L416,CECOs!A:A,CECOs!C:C,""))</f>
        <v>San Martin Gustavo</v>
      </c>
      <c r="R416" s="17" t="s">
        <v>38</v>
      </c>
      <c r="S416" s="17" t="s">
        <v>45</v>
      </c>
      <c r="T416" s="17"/>
      <c r="U416" s="17" t="s">
        <v>94</v>
      </c>
      <c r="V416" s="44" t="s">
        <v>48</v>
      </c>
      <c r="W416" s="17"/>
      <c r="X416" s="17"/>
      <c r="Y416" s="17"/>
      <c r="Z416" s="17"/>
      <c r="AA416" s="17"/>
      <c r="AB416" s="17" t="s">
        <v>49</v>
      </c>
      <c r="AC416" s="17"/>
      <c r="AD416" s="17" t="s">
        <v>50</v>
      </c>
      <c r="AE416" s="17"/>
      <c r="AF416" s="17"/>
      <c r="AG416" s="17"/>
      <c r="AH416" s="17"/>
      <c r="AI416" s="17"/>
      <c r="AJ416" s="17"/>
      <c r="AK416" s="29"/>
    </row>
    <row r="417" spans="1:37" ht="11.25" customHeight="1">
      <c r="A417" s="29">
        <v>46266</v>
      </c>
      <c r="B417" s="22">
        <v>3437952</v>
      </c>
      <c r="C417" s="17" t="s">
        <v>218</v>
      </c>
      <c r="D417" s="17" t="s">
        <v>38</v>
      </c>
      <c r="E417" s="17" t="s">
        <v>38</v>
      </c>
      <c r="F417" s="17"/>
      <c r="G417" s="17"/>
      <c r="H417" s="49"/>
      <c r="I417" s="73" t="s">
        <v>40</v>
      </c>
      <c r="J417" s="73" t="s">
        <v>68</v>
      </c>
      <c r="K417" s="44" t="s">
        <v>1064</v>
      </c>
      <c r="L417" s="36" t="s">
        <v>1065</v>
      </c>
      <c r="M417" s="103"/>
      <c r="N417" s="79" t="s">
        <v>1067</v>
      </c>
      <c r="O417" s="36" t="str">
        <f>VLOOKUP(L417,CECOs!A:B,2,0)</f>
        <v>Sup Eléctrico COM y PEM</v>
      </c>
      <c r="P417" s="17" t="str">
        <f>VLOOKUP(B:B,CECOs!G:I,3,FALSE)</f>
        <v>Supervisoroperativo/Producción</v>
      </c>
      <c r="Q417" s="17" t="str">
        <f>IF(_xlfn.XLOOKUP(L417,CECOs!A:A,CECOs!C:C,"")="",K417,_xlfn.XLOOKUP(L417,CECOs!A:A,CECOs!C:C,""))</f>
        <v>San Martin Gustavo</v>
      </c>
      <c r="R417" s="17" t="s">
        <v>38</v>
      </c>
      <c r="S417" s="17" t="s">
        <v>45</v>
      </c>
      <c r="T417" s="17"/>
      <c r="U417" s="17" t="s">
        <v>94</v>
      </c>
      <c r="V417" s="44" t="s">
        <v>48</v>
      </c>
      <c r="W417" s="17"/>
      <c r="X417" s="17"/>
      <c r="Y417" s="17"/>
      <c r="Z417" s="17"/>
      <c r="AA417" s="17"/>
      <c r="AB417" s="17" t="s">
        <v>49</v>
      </c>
      <c r="AC417" s="17"/>
      <c r="AD417" s="17" t="s">
        <v>50</v>
      </c>
      <c r="AE417" s="17"/>
      <c r="AF417" s="17"/>
      <c r="AG417" s="17"/>
      <c r="AH417" s="17"/>
      <c r="AI417" s="17"/>
      <c r="AJ417" s="17"/>
      <c r="AK417" s="29"/>
    </row>
    <row r="418" spans="1:37" ht="11.25" customHeight="1">
      <c r="A418" s="29">
        <v>46266</v>
      </c>
      <c r="B418" s="72">
        <v>3437951</v>
      </c>
      <c r="C418" s="44" t="s">
        <v>218</v>
      </c>
      <c r="D418" s="17" t="s">
        <v>38</v>
      </c>
      <c r="E418" s="17" t="s">
        <v>38</v>
      </c>
      <c r="F418" s="44"/>
      <c r="G418" s="44"/>
      <c r="H418" s="53" t="s">
        <v>1068</v>
      </c>
      <c r="I418" s="73" t="s">
        <v>40</v>
      </c>
      <c r="J418" s="73" t="s">
        <v>68</v>
      </c>
      <c r="K418" s="44" t="s">
        <v>1064</v>
      </c>
      <c r="L418" s="36" t="s">
        <v>1065</v>
      </c>
      <c r="M418" s="112"/>
      <c r="N418" s="82" t="s">
        <v>1069</v>
      </c>
      <c r="O418" s="45" t="str">
        <f>VLOOKUP(L418,CECOs!A:B,2,0)</f>
        <v>Sup Eléctrico COM y PEM</v>
      </c>
      <c r="P418" s="44" t="str">
        <f>VLOOKUP(B:B,CECOs!G:I,3,FALSE)</f>
        <v>Supervisoroperativo/Producción</v>
      </c>
      <c r="Q418" s="44" t="str">
        <f>IF(_xlfn.XLOOKUP(L418,CECOs!A:A,CECOs!C:C,"")="",K418,_xlfn.XLOOKUP(L418,CECOs!A:A,CECOs!C:C,""))</f>
        <v>San Martin Gustavo</v>
      </c>
      <c r="R418" s="17" t="s">
        <v>38</v>
      </c>
      <c r="S418" s="17" t="s">
        <v>45</v>
      </c>
      <c r="T418" s="17"/>
      <c r="U418" s="17" t="s">
        <v>94</v>
      </c>
      <c r="V418" s="44" t="s">
        <v>48</v>
      </c>
      <c r="W418" s="44"/>
      <c r="X418" s="44"/>
      <c r="Y418" s="44"/>
      <c r="Z418" s="44"/>
      <c r="AA418" s="44"/>
      <c r="AB418" s="17" t="s">
        <v>49</v>
      </c>
      <c r="AC418" s="17"/>
      <c r="AD418" s="17" t="s">
        <v>50</v>
      </c>
      <c r="AE418" s="17"/>
      <c r="AF418" s="17"/>
      <c r="AG418" s="17"/>
      <c r="AH418" s="44"/>
      <c r="AI418" s="44"/>
      <c r="AJ418" s="44"/>
      <c r="AK418" s="71"/>
    </row>
    <row r="419" spans="1:37" ht="11.25" customHeight="1">
      <c r="A419" s="29">
        <v>46266</v>
      </c>
      <c r="B419" s="72">
        <v>3439193</v>
      </c>
      <c r="C419" s="17" t="s">
        <v>1070</v>
      </c>
      <c r="D419" s="17" t="s">
        <v>38</v>
      </c>
      <c r="E419" s="17" t="s">
        <v>38</v>
      </c>
      <c r="F419" s="17"/>
      <c r="G419" s="17"/>
      <c r="H419" s="53" t="s">
        <v>1071</v>
      </c>
      <c r="I419" s="73" t="s">
        <v>40</v>
      </c>
      <c r="J419" s="73" t="s">
        <v>68</v>
      </c>
      <c r="K419" s="17" t="s">
        <v>1072</v>
      </c>
      <c r="L419" s="36" t="s">
        <v>304</v>
      </c>
      <c r="M419" s="103"/>
      <c r="N419" s="26" t="s">
        <v>1073</v>
      </c>
      <c r="O419" s="36" t="str">
        <f>VLOOKUP(L419,CECOs!A:B,2,0)</f>
        <v>Otras especialidades</v>
      </c>
      <c r="P419" s="44" t="e">
        <f>VLOOKUP(B:B,CECOs!G:I,3,FALSE)</f>
        <v>#N/A</v>
      </c>
      <c r="Q419" s="17" t="str">
        <f>IF(_xlfn.XLOOKUP(L419,CECOs!A:A,CECOs!C:C,"")="",K419,_xlfn.XLOOKUP(L419,CECOs!A:A,CECOs!C:C,""))</f>
        <v>Camps Yain</v>
      </c>
      <c r="R419" s="17" t="s">
        <v>38</v>
      </c>
      <c r="S419" s="17" t="s">
        <v>45</v>
      </c>
      <c r="T419" s="17"/>
      <c r="U419" s="17" t="s">
        <v>217</v>
      </c>
      <c r="V419" s="44" t="s">
        <v>48</v>
      </c>
      <c r="W419" s="17"/>
      <c r="X419" s="17"/>
      <c r="Y419" s="17"/>
      <c r="Z419" s="17"/>
      <c r="AA419" s="17"/>
      <c r="AB419" s="17" t="s">
        <v>49</v>
      </c>
      <c r="AC419" s="17"/>
      <c r="AD419" s="17" t="s">
        <v>50</v>
      </c>
      <c r="AE419" s="17"/>
      <c r="AF419" s="17"/>
      <c r="AG419" s="17"/>
      <c r="AH419" s="17"/>
      <c r="AI419" s="17"/>
      <c r="AJ419" s="17"/>
      <c r="AK419" s="29"/>
    </row>
    <row r="420" spans="1:37" ht="11.25" customHeight="1">
      <c r="A420" s="29">
        <v>46266</v>
      </c>
      <c r="B420" s="72">
        <v>3437849</v>
      </c>
      <c r="C420" s="17" t="s">
        <v>1074</v>
      </c>
      <c r="D420" s="17" t="s">
        <v>38</v>
      </c>
      <c r="E420" s="17" t="s">
        <v>38</v>
      </c>
      <c r="F420" s="44"/>
      <c r="G420" s="44"/>
      <c r="H420" s="53" t="s">
        <v>1075</v>
      </c>
      <c r="I420" s="73" t="s">
        <v>40</v>
      </c>
      <c r="J420" s="73" t="s">
        <v>68</v>
      </c>
      <c r="K420" s="17" t="s">
        <v>1072</v>
      </c>
      <c r="L420" s="36" t="s">
        <v>304</v>
      </c>
      <c r="M420" s="112"/>
      <c r="N420" s="26" t="s">
        <v>1076</v>
      </c>
      <c r="O420" s="45" t="str">
        <f>VLOOKUP(L420,CECOs!A:B,2,0)</f>
        <v>Otras especialidades</v>
      </c>
      <c r="P420" s="44" t="e">
        <f>VLOOKUP(B:B,CECOs!G:I,3,FALSE)</f>
        <v>#N/A</v>
      </c>
      <c r="Q420" s="44" t="str">
        <f>IF(_xlfn.XLOOKUP(L420,CECOs!A:A,CECOs!C:C,"")="",K420,_xlfn.XLOOKUP(L420,CECOs!A:A,CECOs!C:C,""))</f>
        <v>Camps Yain</v>
      </c>
      <c r="R420" s="17" t="s">
        <v>38</v>
      </c>
      <c r="S420" s="17" t="s">
        <v>45</v>
      </c>
      <c r="T420" s="44"/>
      <c r="U420" s="17" t="s">
        <v>217</v>
      </c>
      <c r="V420" s="44" t="s">
        <v>48</v>
      </c>
      <c r="W420" s="17"/>
      <c r="X420" s="17"/>
      <c r="Y420" s="17"/>
      <c r="Z420" s="17"/>
      <c r="AA420" s="17"/>
      <c r="AB420" s="17" t="s">
        <v>49</v>
      </c>
      <c r="AC420" s="17"/>
      <c r="AD420" s="17" t="s">
        <v>50</v>
      </c>
      <c r="AE420" s="17"/>
      <c r="AF420" s="17"/>
      <c r="AG420" s="17"/>
      <c r="AH420" s="17"/>
      <c r="AI420" s="17"/>
      <c r="AJ420" s="17"/>
      <c r="AK420" s="71"/>
    </row>
    <row r="421" spans="1:37" ht="11.25" customHeight="1">
      <c r="A421" s="29">
        <v>46266</v>
      </c>
      <c r="B421" s="72">
        <v>3437815</v>
      </c>
      <c r="C421" s="44" t="s">
        <v>1077</v>
      </c>
      <c r="D421" s="22" t="s">
        <v>38</v>
      </c>
      <c r="E421" s="22" t="s">
        <v>38</v>
      </c>
      <c r="F421" s="44"/>
      <c r="G421" s="44"/>
      <c r="I421" s="22" t="s">
        <v>40</v>
      </c>
      <c r="J421" s="22" t="s">
        <v>68</v>
      </c>
      <c r="K421" s="72" t="s">
        <v>1041</v>
      </c>
      <c r="L421" s="85" t="s">
        <v>1078</v>
      </c>
      <c r="M421" s="113"/>
      <c r="N421" s="86"/>
      <c r="O421" s="45" t="str">
        <f>VLOOKUP(L421,CECOs!A:B,2,0)</f>
        <v>Mtto Mecánico LT2E</v>
      </c>
      <c r="P421" s="44" t="e">
        <f>VLOOKUP(B:B,CECOs!G:I,3,FALSE)</f>
        <v>#N/A</v>
      </c>
      <c r="Q421" s="44" t="str">
        <f>IF(_xlfn.XLOOKUP(L421,CECOs!A:A,CECOs!C:C,"")="",K421,_xlfn.XLOOKUP(L421,CECOs!A:A,CECOs!C:C,""))</f>
        <v>MERCADO, MAURICIO / FREDES, RUBEN</v>
      </c>
      <c r="R421" s="17" t="s">
        <v>38</v>
      </c>
      <c r="S421" s="17" t="s">
        <v>45</v>
      </c>
      <c r="T421" s="17" t="s">
        <v>57</v>
      </c>
      <c r="U421" s="17" t="s">
        <v>94</v>
      </c>
      <c r="V421" s="17" t="s">
        <v>95</v>
      </c>
      <c r="W421" s="44"/>
      <c r="X421" s="44"/>
      <c r="Y421" s="44"/>
      <c r="Z421" s="44"/>
      <c r="AA421" s="44"/>
      <c r="AB421" s="17" t="s">
        <v>49</v>
      </c>
      <c r="AC421" s="17"/>
      <c r="AD421" s="17" t="s">
        <v>50</v>
      </c>
      <c r="AE421" s="44"/>
      <c r="AF421" s="44"/>
      <c r="AG421" s="44"/>
      <c r="AH421" s="44"/>
      <c r="AI421" s="44"/>
      <c r="AJ421" s="44"/>
      <c r="AK421" s="71"/>
    </row>
    <row r="422" spans="1:37" ht="11.25" customHeight="1">
      <c r="A422" s="29">
        <v>46266</v>
      </c>
      <c r="B422" s="22">
        <v>3437816</v>
      </c>
      <c r="C422" s="17" t="s">
        <v>1077</v>
      </c>
      <c r="D422" s="22" t="s">
        <v>38</v>
      </c>
      <c r="E422" s="22" t="s">
        <v>38</v>
      </c>
      <c r="F422" s="17"/>
      <c r="G422" s="17"/>
      <c r="I422" s="22" t="s">
        <v>40</v>
      </c>
      <c r="J422" s="22" t="s">
        <v>68</v>
      </c>
      <c r="K422" s="72" t="s">
        <v>1041</v>
      </c>
      <c r="L422" s="85" t="s">
        <v>1078</v>
      </c>
      <c r="M422" s="107"/>
      <c r="N422" s="86"/>
      <c r="O422" s="36" t="str">
        <f>VLOOKUP(L422,CECOs!A:B,2,0)</f>
        <v>Mtto Mecánico LT2E</v>
      </c>
      <c r="P422" s="17" t="e">
        <f>VLOOKUP(B:B,CECOs!G:I,3,FALSE)</f>
        <v>#N/A</v>
      </c>
      <c r="Q422" s="17" t="str">
        <f>IF(_xlfn.XLOOKUP(L422,CECOs!A:A,CECOs!C:C,"")="",K422,_xlfn.XLOOKUP(L422,CECOs!A:A,CECOs!C:C,""))</f>
        <v>MERCADO, MAURICIO / FREDES, RUBEN</v>
      </c>
      <c r="R422" s="17" t="s">
        <v>38</v>
      </c>
      <c r="S422" s="17" t="s">
        <v>45</v>
      </c>
      <c r="T422" s="17" t="s">
        <v>57</v>
      </c>
      <c r="U422" s="17" t="s">
        <v>94</v>
      </c>
      <c r="V422" s="17" t="s">
        <v>95</v>
      </c>
      <c r="W422" s="17"/>
      <c r="X422" s="17"/>
      <c r="Y422" s="17"/>
      <c r="Z422" s="17"/>
      <c r="AA422" s="17"/>
      <c r="AB422" s="17" t="s">
        <v>49</v>
      </c>
      <c r="AC422" s="17"/>
      <c r="AD422" s="17" t="s">
        <v>50</v>
      </c>
      <c r="AE422" s="17"/>
      <c r="AF422" s="17"/>
      <c r="AG422" s="17"/>
      <c r="AH422" s="17"/>
      <c r="AI422" s="17"/>
      <c r="AJ422" s="17"/>
      <c r="AK422" s="29"/>
    </row>
    <row r="423" spans="1:37" ht="11.25" customHeight="1">
      <c r="A423" s="29">
        <v>46266</v>
      </c>
      <c r="B423" s="22">
        <v>3437817</v>
      </c>
      <c r="C423" s="17" t="s">
        <v>1077</v>
      </c>
      <c r="D423" s="22" t="s">
        <v>38</v>
      </c>
      <c r="E423" s="22" t="s">
        <v>38</v>
      </c>
      <c r="F423" s="17"/>
      <c r="G423" s="17"/>
      <c r="I423" s="22" t="s">
        <v>40</v>
      </c>
      <c r="J423" s="22" t="s">
        <v>68</v>
      </c>
      <c r="K423" s="72" t="s">
        <v>1041</v>
      </c>
      <c r="L423" s="85" t="s">
        <v>1078</v>
      </c>
      <c r="M423" s="107"/>
      <c r="N423" s="86"/>
      <c r="O423" s="36" t="str">
        <f>VLOOKUP(L423,CECOs!A:B,2,0)</f>
        <v>Mtto Mecánico LT2E</v>
      </c>
      <c r="P423" s="17" t="e">
        <f>VLOOKUP(B:B,CECOs!G:I,3,FALSE)</f>
        <v>#N/A</v>
      </c>
      <c r="Q423" s="17" t="str">
        <f>IF(_xlfn.XLOOKUP(L423,CECOs!A:A,CECOs!C:C,"")="",K423,_xlfn.XLOOKUP(L423,CECOs!A:A,CECOs!C:C,""))</f>
        <v>MERCADO, MAURICIO / FREDES, RUBEN</v>
      </c>
      <c r="R423" s="17" t="s">
        <v>38</v>
      </c>
      <c r="S423" s="17" t="s">
        <v>45</v>
      </c>
      <c r="T423" s="17" t="s">
        <v>57</v>
      </c>
      <c r="U423" s="17" t="s">
        <v>94</v>
      </c>
      <c r="V423" s="17" t="s">
        <v>95</v>
      </c>
      <c r="W423" s="17"/>
      <c r="X423" s="17"/>
      <c r="Y423" s="17"/>
      <c r="Z423" s="17"/>
      <c r="AA423" s="17"/>
      <c r="AB423" s="17" t="s">
        <v>49</v>
      </c>
      <c r="AC423" s="17"/>
      <c r="AD423" s="17" t="s">
        <v>50</v>
      </c>
      <c r="AE423" s="17"/>
      <c r="AF423" s="17"/>
      <c r="AG423" s="17"/>
      <c r="AH423" s="17"/>
      <c r="AI423" s="17"/>
      <c r="AJ423" s="17"/>
      <c r="AK423" s="29"/>
    </row>
    <row r="424" spans="1:37" ht="11.25" customHeight="1">
      <c r="A424" s="29">
        <v>46266</v>
      </c>
      <c r="B424" s="22">
        <v>3437818</v>
      </c>
      <c r="C424" s="17" t="s">
        <v>1077</v>
      </c>
      <c r="D424" s="22" t="s">
        <v>38</v>
      </c>
      <c r="E424" s="22" t="s">
        <v>38</v>
      </c>
      <c r="F424" s="17"/>
      <c r="G424" s="17"/>
      <c r="I424" s="22" t="s">
        <v>40</v>
      </c>
      <c r="J424" s="22" t="s">
        <v>68</v>
      </c>
      <c r="K424" s="72" t="s">
        <v>1041</v>
      </c>
      <c r="L424" s="85" t="s">
        <v>1078</v>
      </c>
      <c r="M424" s="107"/>
      <c r="N424" s="86"/>
      <c r="O424" s="36" t="str">
        <f>VLOOKUP(L424,CECOs!A:B,2,0)</f>
        <v>Mtto Mecánico LT2E</v>
      </c>
      <c r="P424" s="17" t="e">
        <f>VLOOKUP(B:B,CECOs!G:I,3,FALSE)</f>
        <v>#N/A</v>
      </c>
      <c r="Q424" s="17" t="str">
        <f>IF(_xlfn.XLOOKUP(L424,CECOs!A:A,CECOs!C:C,"")="",K424,_xlfn.XLOOKUP(L424,CECOs!A:A,CECOs!C:C,""))</f>
        <v>MERCADO, MAURICIO / FREDES, RUBEN</v>
      </c>
      <c r="R424" s="17" t="s">
        <v>38</v>
      </c>
      <c r="S424" s="17" t="s">
        <v>45</v>
      </c>
      <c r="T424" s="17" t="s">
        <v>57</v>
      </c>
      <c r="U424" s="17" t="s">
        <v>94</v>
      </c>
      <c r="V424" s="17" t="s">
        <v>95</v>
      </c>
      <c r="W424" s="17"/>
      <c r="X424" s="17"/>
      <c r="Y424" s="17"/>
      <c r="Z424" s="17"/>
      <c r="AA424" s="17"/>
      <c r="AB424" s="17" t="s">
        <v>49</v>
      </c>
      <c r="AC424" s="17"/>
      <c r="AD424" s="17" t="s">
        <v>50</v>
      </c>
      <c r="AE424" s="17"/>
      <c r="AF424" s="17"/>
      <c r="AG424" s="17"/>
      <c r="AH424" s="17"/>
      <c r="AI424" s="17"/>
      <c r="AJ424" s="17"/>
      <c r="AK424" s="29"/>
    </row>
    <row r="425" spans="1:37" ht="11.25" customHeight="1">
      <c r="A425" s="29">
        <v>46266</v>
      </c>
      <c r="B425" s="22">
        <v>3437819</v>
      </c>
      <c r="C425" s="17" t="s">
        <v>1079</v>
      </c>
      <c r="D425" s="22" t="s">
        <v>38</v>
      </c>
      <c r="E425" s="22" t="s">
        <v>38</v>
      </c>
      <c r="F425" s="17"/>
      <c r="G425" s="17"/>
      <c r="H425" s="22" t="s">
        <v>1080</v>
      </c>
      <c r="I425" s="22" t="s">
        <v>40</v>
      </c>
      <c r="J425" s="22" t="s">
        <v>68</v>
      </c>
      <c r="K425" s="72" t="s">
        <v>1041</v>
      </c>
      <c r="L425" s="85" t="s">
        <v>1078</v>
      </c>
      <c r="M425" s="107"/>
      <c r="N425" s="86" t="s">
        <v>1081</v>
      </c>
      <c r="O425" s="36" t="str">
        <f>VLOOKUP(L425,CECOs!A:B,2,0)</f>
        <v>Mtto Mecánico LT2E</v>
      </c>
      <c r="P425" s="17" t="e">
        <f>VLOOKUP(B:B,CECOs!G:I,3,FALSE)</f>
        <v>#N/A</v>
      </c>
      <c r="Q425" s="17" t="str">
        <f>IF(_xlfn.XLOOKUP(L425,CECOs!A:A,CECOs!C:C,"")="",K425,_xlfn.XLOOKUP(L425,CECOs!A:A,CECOs!C:C,""))</f>
        <v>MERCADO, MAURICIO / FREDES, RUBEN</v>
      </c>
      <c r="R425" s="17" t="s">
        <v>38</v>
      </c>
      <c r="S425" s="17" t="s">
        <v>45</v>
      </c>
      <c r="T425" s="17" t="s">
        <v>57</v>
      </c>
      <c r="U425" s="17" t="s">
        <v>94</v>
      </c>
      <c r="V425" s="17" t="s">
        <v>95</v>
      </c>
      <c r="W425" s="17"/>
      <c r="X425" s="17"/>
      <c r="Y425" s="17"/>
      <c r="Z425" s="17"/>
      <c r="AA425" s="17"/>
      <c r="AB425" s="17" t="s">
        <v>49</v>
      </c>
      <c r="AC425" s="17"/>
      <c r="AD425" s="17" t="s">
        <v>50</v>
      </c>
      <c r="AE425" s="17"/>
      <c r="AF425" s="17"/>
      <c r="AG425" s="17"/>
      <c r="AH425" s="17"/>
      <c r="AI425" s="17"/>
      <c r="AJ425" s="17"/>
      <c r="AK425" s="29"/>
    </row>
    <row r="426" spans="1:37" ht="11.25" customHeight="1">
      <c r="A426" s="29">
        <v>46266</v>
      </c>
      <c r="B426" s="22">
        <v>3437820</v>
      </c>
      <c r="C426" s="17" t="s">
        <v>1079</v>
      </c>
      <c r="D426" s="22" t="s">
        <v>38</v>
      </c>
      <c r="E426" s="22" t="s">
        <v>38</v>
      </c>
      <c r="F426" s="17"/>
      <c r="G426" s="17"/>
      <c r="H426" s="22" t="s">
        <v>1082</v>
      </c>
      <c r="I426" s="22" t="s">
        <v>40</v>
      </c>
      <c r="J426" s="22" t="s">
        <v>68</v>
      </c>
      <c r="K426" s="72" t="s">
        <v>1041</v>
      </c>
      <c r="L426" s="85" t="s">
        <v>1078</v>
      </c>
      <c r="M426" s="107"/>
      <c r="N426" s="86" t="s">
        <v>1083</v>
      </c>
      <c r="O426" s="36" t="str">
        <f>VLOOKUP(L426,CECOs!A:B,2,0)</f>
        <v>Mtto Mecánico LT2E</v>
      </c>
      <c r="P426" s="17" t="e">
        <f>VLOOKUP(B:B,CECOs!G:I,3,FALSE)</f>
        <v>#N/A</v>
      </c>
      <c r="Q426" s="17" t="str">
        <f>IF(_xlfn.XLOOKUP(L426,CECOs!A:A,CECOs!C:C,"")="",K426,_xlfn.XLOOKUP(L426,CECOs!A:A,CECOs!C:C,""))</f>
        <v>MERCADO, MAURICIO / FREDES, RUBEN</v>
      </c>
      <c r="R426" s="17" t="s">
        <v>38</v>
      </c>
      <c r="S426" s="17" t="s">
        <v>45</v>
      </c>
      <c r="T426" s="17" t="s">
        <v>57</v>
      </c>
      <c r="U426" s="17" t="s">
        <v>94</v>
      </c>
      <c r="V426" s="17" t="s">
        <v>95</v>
      </c>
      <c r="W426" s="17"/>
      <c r="X426" s="17"/>
      <c r="Y426" s="17"/>
      <c r="Z426" s="17"/>
      <c r="AA426" s="17"/>
      <c r="AB426" s="17" t="s">
        <v>49</v>
      </c>
      <c r="AC426" s="17"/>
      <c r="AD426" s="17" t="s">
        <v>50</v>
      </c>
      <c r="AE426" s="17"/>
      <c r="AF426" s="17"/>
      <c r="AG426" s="17"/>
      <c r="AH426" s="17"/>
      <c r="AI426" s="17"/>
      <c r="AJ426" s="17"/>
      <c r="AK426" s="29"/>
    </row>
    <row r="427" spans="1:37" ht="11.25" customHeight="1">
      <c r="A427" s="29">
        <v>46266</v>
      </c>
      <c r="B427" s="22">
        <v>3437821</v>
      </c>
      <c r="C427" s="17" t="s">
        <v>1079</v>
      </c>
      <c r="D427" s="22" t="s">
        <v>38</v>
      </c>
      <c r="E427" s="22" t="s">
        <v>38</v>
      </c>
      <c r="F427" s="17"/>
      <c r="G427" s="17"/>
      <c r="H427" s="22" t="s">
        <v>1084</v>
      </c>
      <c r="I427" s="22" t="s">
        <v>40</v>
      </c>
      <c r="J427" s="22" t="s">
        <v>68</v>
      </c>
      <c r="K427" s="72" t="s">
        <v>1041</v>
      </c>
      <c r="L427" s="85" t="s">
        <v>1078</v>
      </c>
      <c r="M427" s="107"/>
      <c r="N427" s="86" t="s">
        <v>1085</v>
      </c>
      <c r="O427" s="36" t="str">
        <f>VLOOKUP(L427,CECOs!A:B,2,0)</f>
        <v>Mtto Mecánico LT2E</v>
      </c>
      <c r="P427" s="17" t="e">
        <f>VLOOKUP(B:B,CECOs!G:I,3,FALSE)</f>
        <v>#N/A</v>
      </c>
      <c r="Q427" s="17" t="str">
        <f>IF(_xlfn.XLOOKUP(L427,CECOs!A:A,CECOs!C:C,"")="",K427,_xlfn.XLOOKUP(L427,CECOs!A:A,CECOs!C:C,""))</f>
        <v>MERCADO, MAURICIO / FREDES, RUBEN</v>
      </c>
      <c r="R427" s="17" t="s">
        <v>38</v>
      </c>
      <c r="S427" s="17" t="s">
        <v>45</v>
      </c>
      <c r="T427" s="17" t="s">
        <v>57</v>
      </c>
      <c r="U427" s="17" t="s">
        <v>94</v>
      </c>
      <c r="V427" s="17" t="s">
        <v>95</v>
      </c>
      <c r="W427" s="17"/>
      <c r="X427" s="17"/>
      <c r="Y427" s="17"/>
      <c r="Z427" s="17"/>
      <c r="AA427" s="17"/>
      <c r="AB427" s="17" t="s">
        <v>49</v>
      </c>
      <c r="AC427" s="17"/>
      <c r="AD427" s="17" t="s">
        <v>50</v>
      </c>
      <c r="AE427" s="17"/>
      <c r="AF427" s="17"/>
      <c r="AG427" s="17"/>
      <c r="AH427" s="17"/>
      <c r="AI427" s="17"/>
      <c r="AJ427" s="17"/>
      <c r="AK427" s="29"/>
    </row>
    <row r="428" spans="1:37" ht="11.25" customHeight="1">
      <c r="A428" s="29">
        <v>46266</v>
      </c>
      <c r="B428" s="22">
        <v>3437822</v>
      </c>
      <c r="C428" s="17" t="s">
        <v>1079</v>
      </c>
      <c r="D428" s="22" t="s">
        <v>38</v>
      </c>
      <c r="E428" s="22" t="s">
        <v>38</v>
      </c>
      <c r="F428" s="17"/>
      <c r="G428" s="17"/>
      <c r="H428" s="22" t="s">
        <v>1086</v>
      </c>
      <c r="I428" s="22" t="s">
        <v>40</v>
      </c>
      <c r="J428" s="22" t="s">
        <v>68</v>
      </c>
      <c r="K428" s="72" t="s">
        <v>1041</v>
      </c>
      <c r="L428" s="85" t="s">
        <v>1078</v>
      </c>
      <c r="M428" s="107"/>
      <c r="N428" s="86" t="s">
        <v>1087</v>
      </c>
      <c r="O428" s="36" t="str">
        <f>VLOOKUP(L428,CECOs!A:B,2,0)</f>
        <v>Mtto Mecánico LT2E</v>
      </c>
      <c r="P428" s="17" t="e">
        <f>VLOOKUP(B:B,CECOs!G:I,3,FALSE)</f>
        <v>#N/A</v>
      </c>
      <c r="Q428" s="17" t="str">
        <f>IF(_xlfn.XLOOKUP(L428,CECOs!A:A,CECOs!C:C,"")="",K428,_xlfn.XLOOKUP(L428,CECOs!A:A,CECOs!C:C,""))</f>
        <v>MERCADO, MAURICIO / FREDES, RUBEN</v>
      </c>
      <c r="R428" s="17" t="s">
        <v>38</v>
      </c>
      <c r="S428" s="17" t="s">
        <v>45</v>
      </c>
      <c r="T428" s="17" t="s">
        <v>57</v>
      </c>
      <c r="U428" s="17" t="s">
        <v>94</v>
      </c>
      <c r="V428" s="17" t="s">
        <v>95</v>
      </c>
      <c r="W428" s="17"/>
      <c r="X428" s="17"/>
      <c r="Y428" s="17"/>
      <c r="Z428" s="17"/>
      <c r="AA428" s="17"/>
      <c r="AB428" s="17" t="s">
        <v>49</v>
      </c>
      <c r="AC428" s="17"/>
      <c r="AD428" s="17" t="s">
        <v>50</v>
      </c>
      <c r="AE428" s="17"/>
      <c r="AF428" s="17"/>
      <c r="AG428" s="17"/>
      <c r="AH428" s="17"/>
      <c r="AI428" s="17"/>
      <c r="AJ428" s="17"/>
      <c r="AK428" s="29"/>
    </row>
    <row r="429" spans="1:37" ht="11.25" customHeight="1">
      <c r="A429" s="29">
        <v>46266</v>
      </c>
      <c r="B429" s="22">
        <v>3437835</v>
      </c>
      <c r="C429" s="17" t="s">
        <v>1088</v>
      </c>
      <c r="D429" s="22" t="s">
        <v>38</v>
      </c>
      <c r="E429" s="22" t="s">
        <v>38</v>
      </c>
      <c r="F429" s="17"/>
      <c r="G429" s="17"/>
      <c r="H429" s="22" t="s">
        <v>1089</v>
      </c>
      <c r="I429" s="22" t="s">
        <v>40</v>
      </c>
      <c r="J429" s="22" t="s">
        <v>68</v>
      </c>
      <c r="K429" s="72" t="s">
        <v>1041</v>
      </c>
      <c r="L429" s="86" t="s">
        <v>1090</v>
      </c>
      <c r="M429" s="107"/>
      <c r="N429" s="86" t="s">
        <v>1091</v>
      </c>
      <c r="O429" s="36" t="str">
        <f>VLOOKUP(L429,CECOs!A:B,2,0)</f>
        <v>Instrumentistas LT2E</v>
      </c>
      <c r="P429" s="17" t="e">
        <f>VLOOKUP(B:B,CECOs!G:I,3,FALSE)</f>
        <v>#N/A</v>
      </c>
      <c r="Q429" s="17" t="str">
        <f>IF(_xlfn.XLOOKUP(L429,CECOs!A:A,CECOs!C:C,"")="",K429,_xlfn.XLOOKUP(L429,CECOs!A:A,CECOs!C:C,""))</f>
        <v>MERCADO, MAURICIO / FREDES, RUBEN</v>
      </c>
      <c r="R429" s="17" t="s">
        <v>38</v>
      </c>
      <c r="S429" s="17" t="s">
        <v>45</v>
      </c>
      <c r="T429" s="17" t="s">
        <v>57</v>
      </c>
      <c r="U429" s="17" t="s">
        <v>94</v>
      </c>
      <c r="V429" s="17" t="s">
        <v>95</v>
      </c>
      <c r="W429" s="17"/>
      <c r="X429" s="17"/>
      <c r="Y429" s="17"/>
      <c r="Z429" s="17"/>
      <c r="AA429" s="17"/>
      <c r="AB429" s="17" t="s">
        <v>49</v>
      </c>
      <c r="AC429" s="17"/>
      <c r="AD429" s="17" t="s">
        <v>50</v>
      </c>
      <c r="AE429" s="17"/>
      <c r="AF429" s="17"/>
      <c r="AG429" s="17"/>
      <c r="AH429" s="17"/>
      <c r="AI429" s="17"/>
      <c r="AJ429" s="17"/>
      <c r="AK429" s="29"/>
    </row>
    <row r="430" spans="1:37" ht="11.25" customHeight="1">
      <c r="A430" s="29">
        <v>46266</v>
      </c>
      <c r="B430" s="22">
        <v>3437836</v>
      </c>
      <c r="C430" s="17" t="s">
        <v>1088</v>
      </c>
      <c r="D430" s="22" t="s">
        <v>38</v>
      </c>
      <c r="E430" s="22" t="s">
        <v>38</v>
      </c>
      <c r="F430" s="17"/>
      <c r="G430" s="17"/>
      <c r="H430" s="22" t="s">
        <v>1092</v>
      </c>
      <c r="I430" s="22" t="s">
        <v>40</v>
      </c>
      <c r="J430" s="22" t="s">
        <v>68</v>
      </c>
      <c r="K430" s="72" t="s">
        <v>1041</v>
      </c>
      <c r="L430" s="86" t="s">
        <v>1090</v>
      </c>
      <c r="M430" s="107"/>
      <c r="N430" s="86" t="s">
        <v>1093</v>
      </c>
      <c r="O430" s="36" t="str">
        <f>VLOOKUP(L430,CECOs!A:B,2,0)</f>
        <v>Instrumentistas LT2E</v>
      </c>
      <c r="P430" s="17" t="e">
        <f>VLOOKUP(B:B,CECOs!G:I,3,FALSE)</f>
        <v>#N/A</v>
      </c>
      <c r="Q430" s="17" t="str">
        <f>IF(_xlfn.XLOOKUP(L430,CECOs!A:A,CECOs!C:C,"")="",K430,_xlfn.XLOOKUP(L430,CECOs!A:A,CECOs!C:C,""))</f>
        <v>MERCADO, MAURICIO / FREDES, RUBEN</v>
      </c>
      <c r="R430" s="17" t="s">
        <v>38</v>
      </c>
      <c r="S430" s="17" t="s">
        <v>45</v>
      </c>
      <c r="T430" s="17" t="s">
        <v>57</v>
      </c>
      <c r="U430" s="17" t="s">
        <v>94</v>
      </c>
      <c r="V430" s="17" t="s">
        <v>95</v>
      </c>
      <c r="W430" s="17"/>
      <c r="X430" s="17"/>
      <c r="Y430" s="17"/>
      <c r="Z430" s="17"/>
      <c r="AA430" s="17"/>
      <c r="AB430" s="17" t="s">
        <v>49</v>
      </c>
      <c r="AC430" s="17"/>
      <c r="AD430" s="17" t="s">
        <v>50</v>
      </c>
      <c r="AE430" s="17"/>
      <c r="AF430" s="17"/>
      <c r="AG430" s="17"/>
      <c r="AH430" s="17"/>
      <c r="AI430" s="17"/>
      <c r="AJ430" s="17"/>
      <c r="AK430" s="29"/>
    </row>
    <row r="431" spans="1:37" ht="11.25" customHeight="1">
      <c r="A431" s="29">
        <v>46266</v>
      </c>
      <c r="B431" s="22">
        <v>3437837</v>
      </c>
      <c r="C431" s="17" t="s">
        <v>1088</v>
      </c>
      <c r="D431" s="22" t="s">
        <v>38</v>
      </c>
      <c r="E431" s="22" t="s">
        <v>38</v>
      </c>
      <c r="F431" s="17"/>
      <c r="G431" s="17"/>
      <c r="H431" s="22" t="s">
        <v>1094</v>
      </c>
      <c r="I431" s="22" t="s">
        <v>40</v>
      </c>
      <c r="J431" s="22" t="s">
        <v>68</v>
      </c>
      <c r="K431" s="72" t="s">
        <v>1041</v>
      </c>
      <c r="L431" s="86" t="s">
        <v>1090</v>
      </c>
      <c r="M431" s="107"/>
      <c r="N431" s="86" t="s">
        <v>1095</v>
      </c>
      <c r="O431" s="36" t="str">
        <f>VLOOKUP(L431,CECOs!A:B,2,0)</f>
        <v>Instrumentistas LT2E</v>
      </c>
      <c r="P431" s="17" t="e">
        <f>VLOOKUP(B:B,CECOs!G:I,3,FALSE)</f>
        <v>#N/A</v>
      </c>
      <c r="Q431" s="17" t="str">
        <f>IF(_xlfn.XLOOKUP(L431,CECOs!A:A,CECOs!C:C,"")="",K431,_xlfn.XLOOKUP(L431,CECOs!A:A,CECOs!C:C,""))</f>
        <v>MERCADO, MAURICIO / FREDES, RUBEN</v>
      </c>
      <c r="R431" s="17" t="s">
        <v>38</v>
      </c>
      <c r="S431" s="17" t="s">
        <v>45</v>
      </c>
      <c r="T431" s="17" t="s">
        <v>57</v>
      </c>
      <c r="U431" s="17" t="s">
        <v>94</v>
      </c>
      <c r="V431" s="17" t="s">
        <v>95</v>
      </c>
      <c r="W431" s="17"/>
      <c r="X431" s="17"/>
      <c r="Y431" s="17"/>
      <c r="Z431" s="17"/>
      <c r="AA431" s="17"/>
      <c r="AB431" s="17" t="s">
        <v>49</v>
      </c>
      <c r="AC431" s="17"/>
      <c r="AD431" s="17" t="s">
        <v>50</v>
      </c>
      <c r="AE431" s="17"/>
      <c r="AF431" s="17"/>
      <c r="AG431" s="17"/>
      <c r="AH431" s="17"/>
      <c r="AI431" s="17"/>
      <c r="AJ431" s="17"/>
      <c r="AK431" s="29"/>
    </row>
    <row r="432" spans="1:37" ht="11.25" customHeight="1">
      <c r="A432" s="29">
        <v>46266</v>
      </c>
      <c r="B432" s="22">
        <v>3437838</v>
      </c>
      <c r="C432" s="17" t="s">
        <v>1088</v>
      </c>
      <c r="D432" s="22" t="s">
        <v>38</v>
      </c>
      <c r="E432" s="22" t="s">
        <v>38</v>
      </c>
      <c r="F432" s="17"/>
      <c r="G432" s="17"/>
      <c r="H432" s="22" t="s">
        <v>1096</v>
      </c>
      <c r="I432" s="22" t="s">
        <v>40</v>
      </c>
      <c r="J432" s="22" t="s">
        <v>68</v>
      </c>
      <c r="K432" s="72" t="s">
        <v>1041</v>
      </c>
      <c r="L432" s="86" t="s">
        <v>1090</v>
      </c>
      <c r="M432" s="107"/>
      <c r="N432" s="86" t="s">
        <v>1097</v>
      </c>
      <c r="O432" s="36" t="str">
        <f>VLOOKUP(L432,CECOs!A:B,2,0)</f>
        <v>Instrumentistas LT2E</v>
      </c>
      <c r="P432" s="17" t="e">
        <f>VLOOKUP(B:B,CECOs!G:I,3,FALSE)</f>
        <v>#N/A</v>
      </c>
      <c r="Q432" s="17" t="str">
        <f>IF(_xlfn.XLOOKUP(L432,CECOs!A:A,CECOs!C:C,"")="",K432,_xlfn.XLOOKUP(L432,CECOs!A:A,CECOs!C:C,""))</f>
        <v>MERCADO, MAURICIO / FREDES, RUBEN</v>
      </c>
      <c r="R432" s="17" t="s">
        <v>38</v>
      </c>
      <c r="S432" s="17" t="s">
        <v>45</v>
      </c>
      <c r="T432" s="17" t="s">
        <v>57</v>
      </c>
      <c r="U432" s="17" t="s">
        <v>94</v>
      </c>
      <c r="V432" s="17" t="s">
        <v>95</v>
      </c>
      <c r="W432" s="17"/>
      <c r="X432" s="17"/>
      <c r="Y432" s="17"/>
      <c r="Z432" s="17"/>
      <c r="AA432" s="17"/>
      <c r="AB432" s="17" t="s">
        <v>49</v>
      </c>
      <c r="AC432" s="17"/>
      <c r="AD432" s="17" t="s">
        <v>50</v>
      </c>
      <c r="AE432" s="17"/>
      <c r="AF432" s="17"/>
      <c r="AG432" s="17"/>
      <c r="AH432" s="17"/>
      <c r="AI432" s="17"/>
      <c r="AJ432" s="17"/>
      <c r="AK432" s="29"/>
    </row>
    <row r="433" spans="1:37" ht="11.25" customHeight="1">
      <c r="A433" s="29">
        <v>46266</v>
      </c>
      <c r="B433" s="22">
        <v>3437839</v>
      </c>
      <c r="C433" s="17" t="s">
        <v>1098</v>
      </c>
      <c r="D433" s="22" t="s">
        <v>38</v>
      </c>
      <c r="E433" s="22" t="s">
        <v>38</v>
      </c>
      <c r="F433" s="17"/>
      <c r="G433" s="17"/>
      <c r="I433" s="22" t="s">
        <v>40</v>
      </c>
      <c r="J433" s="22" t="s">
        <v>68</v>
      </c>
      <c r="K433" s="72" t="s">
        <v>1041</v>
      </c>
      <c r="L433" s="86" t="s">
        <v>1090</v>
      </c>
      <c r="M433" s="107"/>
      <c r="N433" s="86"/>
      <c r="O433" s="36" t="str">
        <f>VLOOKUP(L433,CECOs!A:B,2,0)</f>
        <v>Instrumentistas LT2E</v>
      </c>
      <c r="P433" s="17" t="e">
        <f>VLOOKUP(B:B,CECOs!G:I,3,FALSE)</f>
        <v>#N/A</v>
      </c>
      <c r="Q433" s="17" t="str">
        <f>IF(_xlfn.XLOOKUP(L433,CECOs!A:A,CECOs!C:C,"")="",K433,_xlfn.XLOOKUP(L433,CECOs!A:A,CECOs!C:C,""))</f>
        <v>MERCADO, MAURICIO / FREDES, RUBEN</v>
      </c>
      <c r="R433" s="17" t="s">
        <v>38</v>
      </c>
      <c r="S433" s="17" t="s">
        <v>45</v>
      </c>
      <c r="T433" s="17" t="s">
        <v>57</v>
      </c>
      <c r="U433" s="17" t="s">
        <v>94</v>
      </c>
      <c r="V433" s="17" t="s">
        <v>95</v>
      </c>
      <c r="W433" s="17"/>
      <c r="X433" s="17"/>
      <c r="Y433" s="17"/>
      <c r="Z433" s="17"/>
      <c r="AA433" s="17"/>
      <c r="AB433" s="17" t="s">
        <v>49</v>
      </c>
      <c r="AC433" s="17"/>
      <c r="AD433" s="17" t="s">
        <v>50</v>
      </c>
      <c r="AE433" s="17"/>
      <c r="AF433" s="17"/>
      <c r="AG433" s="17"/>
      <c r="AH433" s="17"/>
      <c r="AI433" s="17"/>
      <c r="AJ433" s="17"/>
      <c r="AK433" s="29"/>
    </row>
    <row r="434" spans="1:37" ht="11.25" customHeight="1">
      <c r="A434" s="29">
        <v>46266</v>
      </c>
      <c r="B434" s="22">
        <v>3437840</v>
      </c>
      <c r="C434" s="17" t="s">
        <v>1098</v>
      </c>
      <c r="D434" s="22" t="s">
        <v>38</v>
      </c>
      <c r="E434" s="22" t="s">
        <v>38</v>
      </c>
      <c r="F434" s="17"/>
      <c r="G434" s="17"/>
      <c r="I434" s="22" t="s">
        <v>40</v>
      </c>
      <c r="J434" s="22" t="s">
        <v>68</v>
      </c>
      <c r="K434" s="72" t="s">
        <v>1041</v>
      </c>
      <c r="L434" s="86" t="s">
        <v>1090</v>
      </c>
      <c r="M434" s="107"/>
      <c r="N434" s="86"/>
      <c r="O434" s="36" t="str">
        <f>VLOOKUP(L434,CECOs!A:B,2,0)</f>
        <v>Instrumentistas LT2E</v>
      </c>
      <c r="P434" s="17" t="e">
        <f>VLOOKUP(B:B,CECOs!G:I,3,FALSE)</f>
        <v>#N/A</v>
      </c>
      <c r="Q434" s="17" t="str">
        <f>IF(_xlfn.XLOOKUP(L434,CECOs!A:A,CECOs!C:C,"")="",K434,_xlfn.XLOOKUP(L434,CECOs!A:A,CECOs!C:C,""))</f>
        <v>MERCADO, MAURICIO / FREDES, RUBEN</v>
      </c>
      <c r="R434" s="17" t="s">
        <v>38</v>
      </c>
      <c r="S434" s="17" t="s">
        <v>45</v>
      </c>
      <c r="T434" s="17" t="s">
        <v>57</v>
      </c>
      <c r="U434" s="17" t="s">
        <v>94</v>
      </c>
      <c r="V434" s="17" t="s">
        <v>95</v>
      </c>
      <c r="W434" s="17"/>
      <c r="X434" s="17"/>
      <c r="Y434" s="17"/>
      <c r="Z434" s="17"/>
      <c r="AA434" s="17"/>
      <c r="AB434" s="17" t="s">
        <v>49</v>
      </c>
      <c r="AC434" s="17"/>
      <c r="AD434" s="17" t="s">
        <v>50</v>
      </c>
      <c r="AE434" s="17"/>
      <c r="AF434" s="17"/>
      <c r="AG434" s="17"/>
      <c r="AH434" s="17"/>
      <c r="AI434" s="17"/>
      <c r="AJ434" s="17"/>
      <c r="AK434" s="29"/>
    </row>
    <row r="435" spans="1:37" ht="11.25" customHeight="1">
      <c r="A435" s="29">
        <v>46266</v>
      </c>
      <c r="B435" s="22">
        <v>3437841</v>
      </c>
      <c r="C435" s="17" t="s">
        <v>1098</v>
      </c>
      <c r="D435" s="22" t="s">
        <v>38</v>
      </c>
      <c r="E435" s="22" t="s">
        <v>38</v>
      </c>
      <c r="F435" s="17"/>
      <c r="G435" s="17"/>
      <c r="I435" s="22" t="s">
        <v>40</v>
      </c>
      <c r="J435" s="22" t="s">
        <v>68</v>
      </c>
      <c r="K435" s="72" t="s">
        <v>1041</v>
      </c>
      <c r="L435" s="86" t="s">
        <v>1090</v>
      </c>
      <c r="M435" s="107"/>
      <c r="N435" s="86"/>
      <c r="O435" s="36" t="str">
        <f>VLOOKUP(L435,CECOs!A:B,2,0)</f>
        <v>Instrumentistas LT2E</v>
      </c>
      <c r="P435" s="17" t="e">
        <f>VLOOKUP(B:B,CECOs!G:I,3,FALSE)</f>
        <v>#N/A</v>
      </c>
      <c r="Q435" s="17" t="str">
        <f>IF(_xlfn.XLOOKUP(L435,CECOs!A:A,CECOs!C:C,"")="",K435,_xlfn.XLOOKUP(L435,CECOs!A:A,CECOs!C:C,""))</f>
        <v>MERCADO, MAURICIO / FREDES, RUBEN</v>
      </c>
      <c r="R435" s="17" t="s">
        <v>38</v>
      </c>
      <c r="S435" s="17" t="s">
        <v>45</v>
      </c>
      <c r="T435" s="17" t="s">
        <v>57</v>
      </c>
      <c r="U435" s="17" t="s">
        <v>94</v>
      </c>
      <c r="V435" s="17" t="s">
        <v>95</v>
      </c>
      <c r="W435" s="17"/>
      <c r="X435" s="17"/>
      <c r="Y435" s="17"/>
      <c r="Z435" s="17"/>
      <c r="AA435" s="17"/>
      <c r="AB435" s="17" t="s">
        <v>49</v>
      </c>
      <c r="AC435" s="17"/>
      <c r="AD435" s="17" t="s">
        <v>50</v>
      </c>
      <c r="AE435" s="17"/>
      <c r="AF435" s="17"/>
      <c r="AG435" s="17"/>
      <c r="AH435" s="17"/>
      <c r="AI435" s="17"/>
      <c r="AJ435" s="17"/>
      <c r="AK435" s="29"/>
    </row>
    <row r="436" spans="1:37" ht="11.25" customHeight="1">
      <c r="A436" s="29">
        <v>46266</v>
      </c>
      <c r="B436" s="72">
        <v>3437842</v>
      </c>
      <c r="C436" s="44" t="s">
        <v>1098</v>
      </c>
      <c r="D436" s="22" t="s">
        <v>38</v>
      </c>
      <c r="E436" s="22" t="s">
        <v>38</v>
      </c>
      <c r="F436" s="44"/>
      <c r="G436" s="44"/>
      <c r="I436" s="22" t="s">
        <v>40</v>
      </c>
      <c r="J436" s="22" t="s">
        <v>68</v>
      </c>
      <c r="K436" s="72" t="s">
        <v>1041</v>
      </c>
      <c r="L436" s="86" t="s">
        <v>1090</v>
      </c>
      <c r="M436" s="113"/>
      <c r="N436" s="86"/>
      <c r="O436" s="45" t="str">
        <f>VLOOKUP(L436,CECOs!A:B,2,0)</f>
        <v>Instrumentistas LT2E</v>
      </c>
      <c r="P436" s="44" t="e">
        <f>VLOOKUP(B:B,CECOs!G:I,3,FALSE)</f>
        <v>#N/A</v>
      </c>
      <c r="Q436" s="44" t="str">
        <f>IF(_xlfn.XLOOKUP(L436,CECOs!A:A,CECOs!C:C,"")="",K436,_xlfn.XLOOKUP(L436,CECOs!A:A,CECOs!C:C,""))</f>
        <v>MERCADO, MAURICIO / FREDES, RUBEN</v>
      </c>
      <c r="R436" s="17" t="s">
        <v>38</v>
      </c>
      <c r="S436" s="17" t="s">
        <v>45</v>
      </c>
      <c r="T436" s="17" t="s">
        <v>57</v>
      </c>
      <c r="U436" s="17" t="s">
        <v>94</v>
      </c>
      <c r="V436" s="17" t="s">
        <v>95</v>
      </c>
      <c r="W436" s="44"/>
      <c r="X436" s="44"/>
      <c r="Y436" s="44"/>
      <c r="Z436" s="44"/>
      <c r="AA436" s="44"/>
      <c r="AB436" s="17" t="s">
        <v>49</v>
      </c>
      <c r="AC436" s="17"/>
      <c r="AD436" s="17" t="s">
        <v>50</v>
      </c>
      <c r="AE436" s="44"/>
      <c r="AF436" s="44"/>
      <c r="AG436" s="44"/>
      <c r="AH436" s="44"/>
      <c r="AI436" s="44"/>
      <c r="AJ436" s="44"/>
      <c r="AK436" s="71"/>
    </row>
    <row r="437" spans="1:37" ht="11.25" customHeight="1">
      <c r="A437" s="29"/>
      <c r="B437" s="22"/>
      <c r="C437" s="17"/>
      <c r="D437" s="17"/>
      <c r="E437" s="17"/>
      <c r="F437" s="17"/>
      <c r="G437" s="17"/>
      <c r="H437" s="49"/>
      <c r="I437" s="17"/>
      <c r="J437" s="17"/>
      <c r="K437" s="17"/>
      <c r="L437" s="36"/>
      <c r="M437" s="103"/>
      <c r="N437" s="86"/>
      <c r="O437" s="36" t="e">
        <f>VLOOKUP(L437,CECOs!A:B,2,0)</f>
        <v>#N/A</v>
      </c>
      <c r="P437" s="17" t="e">
        <f>VLOOKUP(B:B,CECOs!G:I,3,FALSE)</f>
        <v>#N/A</v>
      </c>
      <c r="Q437" s="17">
        <f>IF(_xlfn.XLOOKUP(L437,CECOs!A:A,CECOs!C:C,"")="",K437,_xlfn.XLOOKUP(L437,CECOs!A:A,CECOs!C:C,""))</f>
        <v>0</v>
      </c>
      <c r="R437" s="17" t="s">
        <v>38</v>
      </c>
      <c r="S437" s="17" t="s">
        <v>45</v>
      </c>
      <c r="T437" s="17" t="s">
        <v>57</v>
      </c>
      <c r="U437" s="17" t="s">
        <v>94</v>
      </c>
      <c r="V437" s="17" t="s">
        <v>95</v>
      </c>
      <c r="W437" s="17"/>
      <c r="X437" s="17"/>
      <c r="Y437" s="17"/>
      <c r="Z437" s="17"/>
      <c r="AA437" s="17"/>
      <c r="AB437" s="17" t="s">
        <v>49</v>
      </c>
      <c r="AC437" s="17"/>
      <c r="AD437" s="17" t="s">
        <v>50</v>
      </c>
      <c r="AE437" s="17"/>
      <c r="AF437" s="17"/>
      <c r="AG437" s="17"/>
      <c r="AH437" s="17"/>
      <c r="AI437" s="17"/>
      <c r="AJ437" s="17"/>
      <c r="AK437" s="29"/>
    </row>
    <row r="438" spans="1:37" ht="11.25" customHeight="1">
      <c r="A438" s="29">
        <v>46266</v>
      </c>
      <c r="B438" s="22">
        <v>3437766</v>
      </c>
      <c r="C438" s="17" t="s">
        <v>1099</v>
      </c>
      <c r="D438" s="17" t="s">
        <v>38</v>
      </c>
      <c r="E438" s="17" t="s">
        <v>38</v>
      </c>
      <c r="F438" s="17"/>
      <c r="G438" s="17"/>
      <c r="H438" s="22" t="s">
        <v>1100</v>
      </c>
      <c r="I438" s="17" t="s">
        <v>40</v>
      </c>
      <c r="J438" s="17" t="s">
        <v>68</v>
      </c>
      <c r="K438" s="17" t="s">
        <v>80</v>
      </c>
      <c r="L438" s="36" t="s">
        <v>1101</v>
      </c>
      <c r="M438" s="103"/>
      <c r="N438" s="37" t="s">
        <v>1102</v>
      </c>
      <c r="O438" s="36" t="str">
        <f>VLOOKUP(L438,CECOs!A:B,2,0)</f>
        <v>Supervisor Flowback</v>
      </c>
      <c r="P438" s="17" t="str">
        <f>VLOOKUP(B:B,CECOs!G:I,3,FALSE)</f>
        <v>Supervisoroperativo/Producción</v>
      </c>
      <c r="Q438" s="17" t="str">
        <f>IF(_xlfn.XLOOKUP(L438,CECOs!A:A,CECOs!C:C,"")="",K438,_xlfn.XLOOKUP(L438,CECOs!A:A,CECOs!C:C,""))</f>
        <v>Macias Ceferino Oscar</v>
      </c>
      <c r="R438" s="17" t="s">
        <v>38</v>
      </c>
      <c r="S438" s="17" t="s">
        <v>45</v>
      </c>
      <c r="T438" s="17"/>
      <c r="U438" s="17" t="s">
        <v>217</v>
      </c>
      <c r="V438" s="17" t="s">
        <v>48</v>
      </c>
      <c r="W438" s="17"/>
      <c r="X438" s="17"/>
      <c r="Y438" s="17"/>
      <c r="Z438" s="17"/>
      <c r="AA438" s="17"/>
      <c r="AB438" s="17" t="s">
        <v>49</v>
      </c>
      <c r="AC438" s="17"/>
      <c r="AD438" s="17" t="s">
        <v>50</v>
      </c>
      <c r="AE438" s="17"/>
      <c r="AF438" s="17"/>
      <c r="AG438" s="17"/>
      <c r="AH438" s="17"/>
      <c r="AI438" s="17"/>
      <c r="AJ438" s="17"/>
      <c r="AK438" s="29"/>
    </row>
    <row r="439" spans="1:37" ht="11.25" customHeight="1">
      <c r="A439" s="29">
        <v>46266</v>
      </c>
      <c r="B439" s="22">
        <v>3437767</v>
      </c>
      <c r="C439" s="17" t="s">
        <v>1099</v>
      </c>
      <c r="D439" s="17" t="s">
        <v>38</v>
      </c>
      <c r="E439" s="17" t="s">
        <v>38</v>
      </c>
      <c r="F439" s="17"/>
      <c r="G439" s="17"/>
      <c r="H439" s="22" t="s">
        <v>1103</v>
      </c>
      <c r="I439" s="17" t="s">
        <v>40</v>
      </c>
      <c r="J439" s="17" t="s">
        <v>68</v>
      </c>
      <c r="K439" s="17" t="s">
        <v>80</v>
      </c>
      <c r="L439" s="36" t="s">
        <v>1101</v>
      </c>
      <c r="M439" s="103"/>
      <c r="N439" s="37" t="s">
        <v>1104</v>
      </c>
      <c r="O439" s="36" t="str">
        <f>VLOOKUP(L439,CECOs!A:B,2,0)</f>
        <v>Supervisor Flowback</v>
      </c>
      <c r="P439" s="17" t="str">
        <f>VLOOKUP(B:B,CECOs!G:I,3,FALSE)</f>
        <v>Supervisoroperativo/Producción</v>
      </c>
      <c r="Q439" s="17" t="str">
        <f>IF(_xlfn.XLOOKUP(L439,CECOs!A:A,CECOs!C:C,"")="",K439,_xlfn.XLOOKUP(L439,CECOs!A:A,CECOs!C:C,""))</f>
        <v>Macias Ceferino Oscar</v>
      </c>
      <c r="R439" s="17" t="s">
        <v>38</v>
      </c>
      <c r="S439" s="17" t="s">
        <v>45</v>
      </c>
      <c r="T439" s="17"/>
      <c r="U439" s="17" t="s">
        <v>217</v>
      </c>
      <c r="V439" s="17" t="s">
        <v>48</v>
      </c>
      <c r="W439" s="17"/>
      <c r="X439" s="17"/>
      <c r="Y439" s="17"/>
      <c r="Z439" s="17"/>
      <c r="AA439" s="17"/>
      <c r="AB439" s="17" t="s">
        <v>49</v>
      </c>
      <c r="AC439" s="17"/>
      <c r="AD439" s="17" t="s">
        <v>50</v>
      </c>
      <c r="AE439" s="17"/>
      <c r="AF439" s="17"/>
      <c r="AG439" s="17"/>
      <c r="AH439" s="17"/>
      <c r="AI439" s="17"/>
      <c r="AJ439" s="17"/>
      <c r="AK439" s="29"/>
    </row>
    <row r="440" spans="1:37" ht="11.25" customHeight="1">
      <c r="A440" s="29">
        <v>46266</v>
      </c>
      <c r="B440" s="22">
        <v>3437768</v>
      </c>
      <c r="C440" s="17" t="s">
        <v>1099</v>
      </c>
      <c r="D440" s="17" t="s">
        <v>38</v>
      </c>
      <c r="E440" s="17" t="s">
        <v>38</v>
      </c>
      <c r="F440" s="17"/>
      <c r="G440" s="17"/>
      <c r="H440" s="17" t="s">
        <v>1105</v>
      </c>
      <c r="I440" s="17" t="s">
        <v>40</v>
      </c>
      <c r="J440" s="17" t="s">
        <v>68</v>
      </c>
      <c r="K440" s="17" t="s">
        <v>80</v>
      </c>
      <c r="L440" s="36" t="s">
        <v>1101</v>
      </c>
      <c r="M440" s="103"/>
      <c r="N440" s="38" t="s">
        <v>1106</v>
      </c>
      <c r="O440" s="36" t="str">
        <f>VLOOKUP(L440,CECOs!A:B,2,0)</f>
        <v>Supervisor Flowback</v>
      </c>
      <c r="P440" s="17" t="str">
        <f>VLOOKUP(B:B,CECOs!G:I,3,FALSE)</f>
        <v>Supervisoroperativo/Producción</v>
      </c>
      <c r="Q440" s="17" t="str">
        <f>IF(_xlfn.XLOOKUP(L440,CECOs!A:A,CECOs!C:C,"")="",K440,_xlfn.XLOOKUP(L440,CECOs!A:A,CECOs!C:C,""))</f>
        <v>Macias Ceferino Oscar</v>
      </c>
      <c r="R440" s="17" t="s">
        <v>38</v>
      </c>
      <c r="S440" s="17" t="s">
        <v>45</v>
      </c>
      <c r="T440" s="17"/>
      <c r="U440" s="17" t="s">
        <v>217</v>
      </c>
      <c r="V440" s="17" t="s">
        <v>48</v>
      </c>
      <c r="W440" s="17"/>
      <c r="X440" s="17"/>
      <c r="Y440" s="17"/>
      <c r="Z440" s="17"/>
      <c r="AA440" s="17"/>
      <c r="AB440" s="17" t="s">
        <v>49</v>
      </c>
      <c r="AC440" s="17"/>
      <c r="AD440" s="17" t="s">
        <v>50</v>
      </c>
      <c r="AE440" s="17"/>
      <c r="AF440" s="17"/>
      <c r="AG440" s="17"/>
      <c r="AH440" s="17"/>
      <c r="AI440" s="17"/>
      <c r="AJ440" s="17"/>
      <c r="AK440" s="29"/>
    </row>
    <row r="441" spans="1:37" ht="11.25" customHeight="1">
      <c r="A441" s="29">
        <v>46266</v>
      </c>
      <c r="B441" s="72">
        <v>3437769</v>
      </c>
      <c r="C441" s="17" t="s">
        <v>1099</v>
      </c>
      <c r="D441" s="17" t="s">
        <v>38</v>
      </c>
      <c r="E441" s="17" t="s">
        <v>38</v>
      </c>
      <c r="F441" s="44"/>
      <c r="G441" s="44"/>
      <c r="H441" s="49"/>
      <c r="I441" s="17" t="s">
        <v>40</v>
      </c>
      <c r="J441" s="17" t="s">
        <v>68</v>
      </c>
      <c r="K441" s="17" t="s">
        <v>80</v>
      </c>
      <c r="L441" s="36" t="s">
        <v>1101</v>
      </c>
      <c r="M441" s="112"/>
      <c r="N441" s="94" t="s">
        <v>1107</v>
      </c>
      <c r="O441" s="45" t="str">
        <f>VLOOKUP(L441,CECOs!A:B,2,0)</f>
        <v>Supervisor Flowback</v>
      </c>
      <c r="P441" s="44" t="str">
        <f>VLOOKUP(B:B,CECOs!G:I,3,FALSE)</f>
        <v>Supervisoroperativo/Producción</v>
      </c>
      <c r="Q441" s="44" t="str">
        <f>IF(_xlfn.XLOOKUP(L441,CECOs!A:A,CECOs!C:C,"")="",K441,_xlfn.XLOOKUP(L441,CECOs!A:A,CECOs!C:C,""))</f>
        <v>Macias Ceferino Oscar</v>
      </c>
      <c r="R441" s="17" t="s">
        <v>38</v>
      </c>
      <c r="S441" s="17" t="s">
        <v>45</v>
      </c>
      <c r="T441" s="17"/>
      <c r="U441" s="17" t="s">
        <v>217</v>
      </c>
      <c r="V441" s="44" t="s">
        <v>48</v>
      </c>
      <c r="W441" s="44"/>
      <c r="X441" s="44"/>
      <c r="Y441" s="44"/>
      <c r="Z441" s="44"/>
      <c r="AA441" s="44"/>
      <c r="AB441" s="17" t="s">
        <v>49</v>
      </c>
      <c r="AC441" s="17"/>
      <c r="AD441" s="17" t="s">
        <v>50</v>
      </c>
      <c r="AE441" s="44"/>
      <c r="AF441" s="44"/>
      <c r="AG441" s="44"/>
      <c r="AH441" s="44"/>
      <c r="AI441" s="44"/>
      <c r="AJ441" s="44"/>
      <c r="AK441" s="71"/>
    </row>
    <row r="442" spans="1:37" ht="11.25" customHeight="1">
      <c r="A442" s="29">
        <v>46266</v>
      </c>
      <c r="B442" s="72">
        <v>3437880</v>
      </c>
      <c r="C442" s="44" t="s">
        <v>318</v>
      </c>
      <c r="D442" s="17" t="s">
        <v>38</v>
      </c>
      <c r="E442" s="17" t="s">
        <v>38</v>
      </c>
      <c r="F442" s="44"/>
      <c r="G442" s="44"/>
      <c r="H442" s="17" t="s">
        <v>1108</v>
      </c>
      <c r="I442" s="17" t="s">
        <v>40</v>
      </c>
      <c r="J442" s="17" t="s">
        <v>68</v>
      </c>
      <c r="K442" s="17" t="s">
        <v>80</v>
      </c>
      <c r="L442" s="54" t="s">
        <v>79</v>
      </c>
      <c r="M442" s="112"/>
      <c r="N442" s="37" t="s">
        <v>1109</v>
      </c>
      <c r="O442" s="45" t="str">
        <f>VLOOKUP(L442,CECOs!A:B,2,0)</f>
        <v>Supervisores Well Services</v>
      </c>
      <c r="P442" s="44" t="e">
        <f>VLOOKUP(B:B,CECOs!G:I,3,FALSE)</f>
        <v>#N/A</v>
      </c>
      <c r="Q442" s="44" t="str">
        <f>IF(_xlfn.XLOOKUP(L442,CECOs!A:A,CECOs!C:C,"")="",K442,_xlfn.XLOOKUP(L442,CECOs!A:A,CECOs!C:C,""))</f>
        <v>Macias Ceferino Oscar</v>
      </c>
      <c r="R442" s="17" t="s">
        <v>38</v>
      </c>
      <c r="S442" s="17" t="s">
        <v>45</v>
      </c>
      <c r="T442" s="44"/>
      <c r="U442" s="17" t="s">
        <v>217</v>
      </c>
      <c r="V442" s="44" t="s">
        <v>48</v>
      </c>
      <c r="W442" s="44"/>
      <c r="X442" s="44"/>
      <c r="Y442" s="44"/>
      <c r="Z442" s="44"/>
      <c r="AA442" s="44"/>
      <c r="AB442" s="17" t="s">
        <v>49</v>
      </c>
      <c r="AC442" s="17"/>
      <c r="AD442" s="17" t="s">
        <v>50</v>
      </c>
      <c r="AE442" s="44"/>
      <c r="AF442" s="44"/>
      <c r="AG442" s="44"/>
      <c r="AH442" s="44"/>
      <c r="AI442" s="44"/>
      <c r="AJ442" s="44"/>
      <c r="AK442" s="95"/>
    </row>
    <row r="443" spans="1:37" ht="11.25" customHeight="1">
      <c r="A443" s="95"/>
      <c r="B443" s="72"/>
      <c r="C443" s="44"/>
      <c r="D443" s="44"/>
      <c r="E443" s="44"/>
      <c r="F443" s="44"/>
      <c r="G443" s="44"/>
      <c r="H443" s="49"/>
      <c r="I443" s="44"/>
      <c r="J443" s="44"/>
      <c r="K443" s="44"/>
      <c r="L443" s="45"/>
      <c r="M443" s="112"/>
      <c r="N443" s="94"/>
      <c r="O443" s="45" t="e">
        <f>VLOOKUP(L443,CECOs!A:B,2,0)</f>
        <v>#N/A</v>
      </c>
      <c r="P443" s="44" t="e">
        <f>VLOOKUP(B:B,CECOs!G:I,3,FALSE)</f>
        <v>#N/A</v>
      </c>
      <c r="Q443" s="44">
        <f>IF(_xlfn.XLOOKUP(L443,CECOs!A:A,CECOs!C:C,"")="",K443,_xlfn.XLOOKUP(L443,CECOs!A:A,CECOs!C:C,""))</f>
        <v>0</v>
      </c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95"/>
    </row>
  </sheetData>
  <conditionalFormatting sqref="B288">
    <cfRule type="duplicateValues" dxfId="68" priority="9"/>
    <cfRule type="duplicateValues" dxfId="67" priority="10"/>
  </conditionalFormatting>
  <conditionalFormatting sqref="B311:B320 B255:B287 B289:B309 B2:B253">
    <cfRule type="duplicateValues" dxfId="66" priority="34"/>
    <cfRule type="duplicateValues" dxfId="65" priority="35"/>
  </conditionalFormatting>
  <conditionalFormatting sqref="B320">
    <cfRule type="duplicateValues" dxfId="64" priority="32"/>
    <cfRule type="duplicateValues" dxfId="63" priority="33"/>
  </conditionalFormatting>
  <conditionalFormatting sqref="B322:B370">
    <cfRule type="duplicateValues" dxfId="62" priority="71"/>
    <cfRule type="duplicateValues" dxfId="61" priority="72"/>
  </conditionalFormatting>
  <conditionalFormatting sqref="B326 B323 B328 B330 B332 B334 B336 B338 B340 B342 B344 B346 B348 B350">
    <cfRule type="duplicateValues" dxfId="60" priority="25"/>
    <cfRule type="duplicateValues" dxfId="59" priority="26"/>
  </conditionalFormatting>
  <conditionalFormatting sqref="B371:B381 B383:B384 B386:B391 B393 B396 B404 B398:B399">
    <cfRule type="duplicateValues" dxfId="58" priority="80"/>
    <cfRule type="duplicateValues" dxfId="57" priority="81"/>
  </conditionalFormatting>
  <conditionalFormatting sqref="B394:B395 B392 B385">
    <cfRule type="duplicateValues" dxfId="56" priority="7"/>
    <cfRule type="duplicateValues" dxfId="55" priority="8"/>
  </conditionalFormatting>
  <conditionalFormatting sqref="B397">
    <cfRule type="duplicateValues" dxfId="54" priority="3"/>
    <cfRule type="duplicateValues" dxfId="53" priority="4"/>
  </conditionalFormatting>
  <conditionalFormatting sqref="B400:B403">
    <cfRule type="duplicateValues" dxfId="52" priority="5"/>
    <cfRule type="duplicateValues" dxfId="51" priority="6"/>
  </conditionalFormatting>
  <conditionalFormatting sqref="B405:B414">
    <cfRule type="duplicateValues" dxfId="50" priority="73"/>
    <cfRule type="duplicateValues" dxfId="49" priority="74"/>
  </conditionalFormatting>
  <conditionalFormatting sqref="H21:H23">
    <cfRule type="duplicateValues" dxfId="48" priority="16"/>
  </conditionalFormatting>
  <conditionalFormatting sqref="H33">
    <cfRule type="duplicateValues" dxfId="47" priority="18"/>
  </conditionalFormatting>
  <conditionalFormatting sqref="H75">
    <cfRule type="duplicateValues" dxfId="46" priority="19"/>
  </conditionalFormatting>
  <conditionalFormatting sqref="H79">
    <cfRule type="duplicateValues" dxfId="45" priority="15"/>
  </conditionalFormatting>
  <conditionalFormatting sqref="H405:H406 H408 H415 H410:H413">
    <cfRule type="duplicateValues" dxfId="44" priority="75"/>
  </conditionalFormatting>
  <conditionalFormatting sqref="H409">
    <cfRule type="duplicateValues" dxfId="43" priority="1"/>
  </conditionalFormatting>
  <conditionalFormatting sqref="H418:H419">
    <cfRule type="duplicateValues" dxfId="42" priority="2"/>
  </conditionalFormatting>
  <conditionalFormatting sqref="H416:H417 H328:H336 H255:H258 H265:H274 H263 H261 H279:H287 H277 H248:H249 H251:H253 H76:H78 H34:H51 H53:H74 H414 H24:H32 H371 H80:H134 H374:H397 H354:H365 H136 H190:H207 H154:H180 H182:H187 H312:H326 H138:H152 H209:H221 H289:H291 H400:H404 H1:H14 H293:H295 H297:H305 H407 H307:H309 H223:H246 H338:H351 H420:H1048576 H16:H20 H367:H369">
    <cfRule type="duplicateValues" dxfId="41" priority="82"/>
  </conditionalFormatting>
  <pageMargins left="0.7" right="0.7" top="0.75" bottom="0.75" header="0.3" footer="0.3"/>
  <headerFooter>
    <oddFooter>&amp;L_x000D_&amp;1#&amp;"Calibri"&amp;10&amp;K000000 Uso Interno: Sólo los empleados o personal externo debidamente autorizado tienen acceso.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3EF2-6BAA-4471-BA25-3392A787DF1F}">
  <dimension ref="A1:A4"/>
  <sheetViews>
    <sheetView showGridLines="0" workbookViewId="0">
      <selection activeCell="A17" sqref="A17"/>
    </sheetView>
  </sheetViews>
  <sheetFormatPr defaultColWidth="8.7109375" defaultRowHeight="14.45"/>
  <cols>
    <col min="1" max="1" width="37.5703125" customWidth="1"/>
  </cols>
  <sheetData>
    <row r="1" spans="1:1">
      <c r="A1" s="21" t="s">
        <v>1110</v>
      </c>
    </row>
    <row r="2" spans="1:1">
      <c r="A2" s="18" t="s">
        <v>1111</v>
      </c>
    </row>
    <row r="3" spans="1:1">
      <c r="A3" s="19" t="s">
        <v>1112</v>
      </c>
    </row>
    <row r="4" spans="1:1">
      <c r="A4" s="20" t="s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6C01-4EED-43D1-9536-EFD13E592C03}">
  <sheetPr codeName="Hoja2"/>
  <dimension ref="A1:I609"/>
  <sheetViews>
    <sheetView workbookViewId="0">
      <selection activeCell="A13" sqref="A13"/>
    </sheetView>
  </sheetViews>
  <sheetFormatPr defaultColWidth="8.7109375" defaultRowHeight="14.45"/>
  <cols>
    <col min="1" max="1" width="20.140625" bestFit="1" customWidth="1"/>
    <col min="2" max="2" width="31.28515625" bestFit="1" customWidth="1"/>
    <col min="3" max="3" width="45.5703125" customWidth="1"/>
    <col min="7" max="7" width="10.85546875"/>
    <col min="8" max="8" width="44.85546875" style="59" customWidth="1"/>
    <col min="9" max="9" width="31.5703125" style="58" bestFit="1" customWidth="1"/>
  </cols>
  <sheetData>
    <row r="1" spans="1:9">
      <c r="A1" s="9" t="s">
        <v>1114</v>
      </c>
      <c r="B1" s="9" t="s">
        <v>1115</v>
      </c>
      <c r="C1" s="57" t="s">
        <v>1116</v>
      </c>
      <c r="G1" s="60" t="s">
        <v>1117</v>
      </c>
      <c r="H1" s="61" t="s">
        <v>1118</v>
      </c>
      <c r="I1" s="60" t="s">
        <v>1119</v>
      </c>
    </row>
    <row r="2" spans="1:9">
      <c r="A2" s="10" t="s">
        <v>635</v>
      </c>
      <c r="B2" s="10" t="s">
        <v>1120</v>
      </c>
      <c r="C2" t="s">
        <v>1121</v>
      </c>
      <c r="G2" s="62">
        <v>3392801</v>
      </c>
      <c r="H2" s="63" t="s">
        <v>1122</v>
      </c>
      <c r="I2" s="64" t="s">
        <v>1123</v>
      </c>
    </row>
    <row r="3" spans="1:9">
      <c r="A3" s="10" t="s">
        <v>683</v>
      </c>
      <c r="B3" s="10" t="s">
        <v>1124</v>
      </c>
      <c r="C3" t="s">
        <v>1125</v>
      </c>
      <c r="G3" s="62">
        <v>3392802</v>
      </c>
      <c r="H3" s="63" t="s">
        <v>1122</v>
      </c>
      <c r="I3" s="64" t="s">
        <v>1123</v>
      </c>
    </row>
    <row r="4" spans="1:9">
      <c r="A4" s="10" t="s">
        <v>671</v>
      </c>
      <c r="B4" s="10" t="s">
        <v>1126</v>
      </c>
      <c r="C4" t="s">
        <v>1121</v>
      </c>
      <c r="G4" s="62">
        <v>3392803</v>
      </c>
      <c r="H4" s="63" t="s">
        <v>1122</v>
      </c>
      <c r="I4" s="64" t="s">
        <v>1123</v>
      </c>
    </row>
    <row r="5" spans="1:9">
      <c r="A5" s="10" t="s">
        <v>521</v>
      </c>
      <c r="B5" s="10" t="s">
        <v>1127</v>
      </c>
      <c r="C5" t="s">
        <v>1121</v>
      </c>
      <c r="G5" s="62">
        <v>3392804</v>
      </c>
      <c r="H5" s="63" t="s">
        <v>1128</v>
      </c>
      <c r="I5" s="64" t="s">
        <v>1123</v>
      </c>
    </row>
    <row r="6" spans="1:9">
      <c r="A6" s="10" t="s">
        <v>514</v>
      </c>
      <c r="B6" s="10" t="s">
        <v>1129</v>
      </c>
      <c r="C6" t="s">
        <v>1121</v>
      </c>
      <c r="G6" s="62">
        <v>3392805</v>
      </c>
      <c r="H6" s="63" t="s">
        <v>1130</v>
      </c>
      <c r="I6" s="64" t="s">
        <v>1123</v>
      </c>
    </row>
    <row r="7" spans="1:9">
      <c r="A7" s="10" t="s">
        <v>234</v>
      </c>
      <c r="B7" s="10" t="s">
        <v>1131</v>
      </c>
      <c r="G7" s="62">
        <v>3392806</v>
      </c>
      <c r="H7" s="63" t="s">
        <v>1122</v>
      </c>
      <c r="I7" s="64" t="s">
        <v>1123</v>
      </c>
    </row>
    <row r="8" spans="1:9">
      <c r="A8" s="10" t="s">
        <v>276</v>
      </c>
      <c r="B8" s="10" t="s">
        <v>1132</v>
      </c>
      <c r="C8" t="s">
        <v>1121</v>
      </c>
      <c r="G8" s="62">
        <v>3392808</v>
      </c>
      <c r="H8" s="63" t="s">
        <v>1122</v>
      </c>
      <c r="I8" s="64" t="s">
        <v>1123</v>
      </c>
    </row>
    <row r="9" spans="1:9">
      <c r="A9" s="10" t="s">
        <v>536</v>
      </c>
      <c r="B9" s="10" t="s">
        <v>1133</v>
      </c>
      <c r="C9" t="s">
        <v>1121</v>
      </c>
      <c r="G9" s="62">
        <v>3392811</v>
      </c>
      <c r="H9" s="63" t="s">
        <v>1134</v>
      </c>
      <c r="I9" s="64" t="s">
        <v>1135</v>
      </c>
    </row>
    <row r="10" spans="1:9">
      <c r="A10" s="10" t="s">
        <v>609</v>
      </c>
      <c r="B10" s="10" t="s">
        <v>1136</v>
      </c>
      <c r="C10" t="s">
        <v>1121</v>
      </c>
      <c r="G10" s="62">
        <v>3392812</v>
      </c>
      <c r="H10" s="63" t="s">
        <v>1134</v>
      </c>
      <c r="I10" s="64" t="s">
        <v>1135</v>
      </c>
    </row>
    <row r="11" spans="1:9">
      <c r="A11" s="10" t="s">
        <v>92</v>
      </c>
      <c r="B11" s="10" t="s">
        <v>1137</v>
      </c>
      <c r="C11" t="s">
        <v>1138</v>
      </c>
      <c r="G11" s="62">
        <v>3392813</v>
      </c>
      <c r="H11" s="63" t="s">
        <v>1139</v>
      </c>
      <c r="I11" s="64" t="s">
        <v>1135</v>
      </c>
    </row>
    <row r="12" spans="1:9">
      <c r="A12" s="10" t="s">
        <v>713</v>
      </c>
      <c r="B12" s="10" t="s">
        <v>1140</v>
      </c>
      <c r="C12" t="s">
        <v>1138</v>
      </c>
      <c r="G12" s="62">
        <v>3392814</v>
      </c>
      <c r="H12" s="63" t="s">
        <v>1141</v>
      </c>
      <c r="I12" s="64" t="s">
        <v>1135</v>
      </c>
    </row>
    <row r="13" spans="1:9">
      <c r="A13" s="10" t="s">
        <v>699</v>
      </c>
      <c r="B13" s="10" t="s">
        <v>959</v>
      </c>
      <c r="C13" t="s">
        <v>1138</v>
      </c>
      <c r="G13" s="62">
        <v>3392815</v>
      </c>
      <c r="H13" s="63" t="s">
        <v>1142</v>
      </c>
      <c r="I13" s="64" t="s">
        <v>1143</v>
      </c>
    </row>
    <row r="14" spans="1:9">
      <c r="A14" s="10" t="s">
        <v>745</v>
      </c>
      <c r="B14" s="10" t="s">
        <v>1144</v>
      </c>
      <c r="C14" t="s">
        <v>1138</v>
      </c>
      <c r="G14" s="62">
        <v>3392816</v>
      </c>
      <c r="H14" s="63" t="s">
        <v>1145</v>
      </c>
      <c r="I14" s="64" t="s">
        <v>1146</v>
      </c>
    </row>
    <row r="15" spans="1:9">
      <c r="A15" s="10" t="s">
        <v>428</v>
      </c>
      <c r="B15" s="10" t="s">
        <v>1147</v>
      </c>
      <c r="C15" t="s">
        <v>1138</v>
      </c>
      <c r="G15" s="62">
        <v>3392817</v>
      </c>
      <c r="H15" s="63" t="s">
        <v>1145</v>
      </c>
      <c r="I15" s="64" t="s">
        <v>1146</v>
      </c>
    </row>
    <row r="16" spans="1:9">
      <c r="A16" s="10" t="s">
        <v>606</v>
      </c>
      <c r="B16" s="10" t="s">
        <v>1148</v>
      </c>
      <c r="C16" t="s">
        <v>1138</v>
      </c>
      <c r="G16" s="62">
        <v>3392818</v>
      </c>
      <c r="H16" s="63" t="s">
        <v>1145</v>
      </c>
      <c r="I16" s="64" t="s">
        <v>1146</v>
      </c>
    </row>
    <row r="17" spans="1:9">
      <c r="A17" s="10" t="s">
        <v>768</v>
      </c>
      <c r="B17" s="10" t="s">
        <v>1149</v>
      </c>
      <c r="C17" t="s">
        <v>1138</v>
      </c>
      <c r="G17" s="62">
        <v>3392819</v>
      </c>
      <c r="H17" s="63" t="s">
        <v>1145</v>
      </c>
      <c r="I17" s="64" t="s">
        <v>1146</v>
      </c>
    </row>
    <row r="18" spans="1:9">
      <c r="A18" s="10" t="s">
        <v>759</v>
      </c>
      <c r="B18" s="10" t="s">
        <v>1150</v>
      </c>
      <c r="C18" t="s">
        <v>1138</v>
      </c>
      <c r="G18" s="62">
        <v>3392820</v>
      </c>
      <c r="H18" s="63" t="s">
        <v>1145</v>
      </c>
      <c r="I18" s="64" t="s">
        <v>1146</v>
      </c>
    </row>
    <row r="19" spans="1:9">
      <c r="A19" s="10" t="s">
        <v>816</v>
      </c>
      <c r="B19" s="10" t="s">
        <v>1151</v>
      </c>
      <c r="C19" t="s">
        <v>1152</v>
      </c>
      <c r="G19" s="62">
        <v>3392821</v>
      </c>
      <c r="H19" s="63" t="s">
        <v>1145</v>
      </c>
      <c r="I19" s="64" t="s">
        <v>1146</v>
      </c>
    </row>
    <row r="20" spans="1:9">
      <c r="A20" s="10" t="s">
        <v>829</v>
      </c>
      <c r="B20" s="10" t="s">
        <v>1153</v>
      </c>
      <c r="C20" t="s">
        <v>1154</v>
      </c>
      <c r="G20" s="62">
        <v>3392822</v>
      </c>
      <c r="H20" s="63" t="s">
        <v>1145</v>
      </c>
      <c r="I20" s="64" t="s">
        <v>1146</v>
      </c>
    </row>
    <row r="21" spans="1:9">
      <c r="A21" s="10" t="s">
        <v>1155</v>
      </c>
      <c r="B21" s="10" t="s">
        <v>1156</v>
      </c>
      <c r="G21" s="62">
        <v>3395760</v>
      </c>
      <c r="H21" s="63" t="s">
        <v>1145</v>
      </c>
      <c r="I21" s="64" t="s">
        <v>1135</v>
      </c>
    </row>
    <row r="22" spans="1:9">
      <c r="A22" s="10" t="s">
        <v>1157</v>
      </c>
      <c r="B22" s="10" t="s">
        <v>1158</v>
      </c>
      <c r="G22" s="62">
        <v>3395761</v>
      </c>
      <c r="H22" s="63" t="s">
        <v>1145</v>
      </c>
      <c r="I22" s="64" t="s">
        <v>1135</v>
      </c>
    </row>
    <row r="23" spans="1:9">
      <c r="A23" s="10" t="s">
        <v>1159</v>
      </c>
      <c r="B23" s="10" t="s">
        <v>1160</v>
      </c>
      <c r="G23" s="62">
        <v>3392823</v>
      </c>
      <c r="H23" s="63" t="s">
        <v>1145</v>
      </c>
      <c r="I23" s="64" t="s">
        <v>1146</v>
      </c>
    </row>
    <row r="24" spans="1:9">
      <c r="A24" s="10" t="s">
        <v>369</v>
      </c>
      <c r="B24" s="10" t="s">
        <v>1161</v>
      </c>
      <c r="C24" t="s">
        <v>1152</v>
      </c>
      <c r="G24" s="62">
        <v>3392824</v>
      </c>
      <c r="H24" s="63" t="s">
        <v>1145</v>
      </c>
      <c r="I24" s="64" t="s">
        <v>1135</v>
      </c>
    </row>
    <row r="25" spans="1:9">
      <c r="A25" s="10" t="s">
        <v>854</v>
      </c>
      <c r="B25" s="10" t="s">
        <v>1162</v>
      </c>
      <c r="C25" t="s">
        <v>1154</v>
      </c>
      <c r="G25" s="62">
        <v>3392825</v>
      </c>
      <c r="H25" s="63" t="s">
        <v>1163</v>
      </c>
      <c r="I25" s="64" t="s">
        <v>1146</v>
      </c>
    </row>
    <row r="26" spans="1:9">
      <c r="A26" s="10" t="s">
        <v>617</v>
      </c>
      <c r="B26" s="10" t="s">
        <v>1164</v>
      </c>
      <c r="C26" t="s">
        <v>1152</v>
      </c>
      <c r="G26" s="62">
        <v>3392826</v>
      </c>
      <c r="H26" s="63" t="s">
        <v>1163</v>
      </c>
      <c r="I26" s="64" t="s">
        <v>1146</v>
      </c>
    </row>
    <row r="27" spans="1:9">
      <c r="A27" s="10" t="s">
        <v>292</v>
      </c>
      <c r="B27" s="10" t="s">
        <v>1165</v>
      </c>
      <c r="C27" t="s">
        <v>1152</v>
      </c>
      <c r="G27" s="62">
        <v>3392827</v>
      </c>
      <c r="H27" s="63" t="s">
        <v>1163</v>
      </c>
      <c r="I27" s="64" t="s">
        <v>1146</v>
      </c>
    </row>
    <row r="28" spans="1:9">
      <c r="A28" s="10" t="s">
        <v>1166</v>
      </c>
      <c r="B28" s="10" t="s">
        <v>1167</v>
      </c>
      <c r="G28" s="62">
        <v>3392828</v>
      </c>
      <c r="H28" s="63" t="s">
        <v>1163</v>
      </c>
      <c r="I28" s="64" t="s">
        <v>1146</v>
      </c>
    </row>
    <row r="29" spans="1:9">
      <c r="A29" s="10" t="s">
        <v>215</v>
      </c>
      <c r="B29" s="10" t="s">
        <v>1168</v>
      </c>
      <c r="C29" t="s">
        <v>1169</v>
      </c>
      <c r="G29" s="62">
        <v>3392829</v>
      </c>
      <c r="H29" s="63" t="s">
        <v>1163</v>
      </c>
      <c r="I29" s="64" t="s">
        <v>1146</v>
      </c>
    </row>
    <row r="30" spans="1:9">
      <c r="A30" s="10" t="s">
        <v>359</v>
      </c>
      <c r="B30" s="10" t="s">
        <v>1170</v>
      </c>
      <c r="C30" t="s">
        <v>1169</v>
      </c>
      <c r="G30" s="62">
        <v>3392830</v>
      </c>
      <c r="H30" s="63" t="s">
        <v>1163</v>
      </c>
      <c r="I30" s="64" t="s">
        <v>1146</v>
      </c>
    </row>
    <row r="31" spans="1:9">
      <c r="A31" s="10" t="s">
        <v>330</v>
      </c>
      <c r="B31" s="10" t="s">
        <v>1171</v>
      </c>
      <c r="C31" t="s">
        <v>1169</v>
      </c>
      <c r="G31" s="62">
        <v>3392831</v>
      </c>
      <c r="H31" s="63" t="s">
        <v>1172</v>
      </c>
      <c r="I31" s="64" t="s">
        <v>1146</v>
      </c>
    </row>
    <row r="32" spans="1:9">
      <c r="A32" s="10" t="s">
        <v>412</v>
      </c>
      <c r="B32" s="10" t="s">
        <v>1173</v>
      </c>
      <c r="C32" t="s">
        <v>1169</v>
      </c>
      <c r="G32" s="62">
        <v>3392834</v>
      </c>
      <c r="H32" s="63" t="s">
        <v>1174</v>
      </c>
      <c r="I32" s="64" t="s">
        <v>1143</v>
      </c>
    </row>
    <row r="33" spans="1:9">
      <c r="A33" s="10" t="s">
        <v>406</v>
      </c>
      <c r="B33" s="10" t="s">
        <v>1175</v>
      </c>
      <c r="C33" t="s">
        <v>1169</v>
      </c>
      <c r="G33" s="62">
        <v>3392835</v>
      </c>
      <c r="H33" s="63" t="s">
        <v>1174</v>
      </c>
      <c r="I33" s="64" t="s">
        <v>1143</v>
      </c>
    </row>
    <row r="34" spans="1:9">
      <c r="A34" s="10" t="s">
        <v>400</v>
      </c>
      <c r="B34" s="10" t="s">
        <v>1176</v>
      </c>
      <c r="C34" t="s">
        <v>1169</v>
      </c>
      <c r="G34" s="62">
        <v>3401242</v>
      </c>
      <c r="H34" s="63" t="s">
        <v>1174</v>
      </c>
      <c r="I34" s="64" t="s">
        <v>1143</v>
      </c>
    </row>
    <row r="35" spans="1:9">
      <c r="A35" s="10" t="s">
        <v>420</v>
      </c>
      <c r="B35" s="10" t="s">
        <v>1177</v>
      </c>
      <c r="C35" t="s">
        <v>1169</v>
      </c>
      <c r="G35" s="62">
        <v>3401243</v>
      </c>
      <c r="H35" s="63" t="s">
        <v>1174</v>
      </c>
      <c r="I35" s="64" t="s">
        <v>1143</v>
      </c>
    </row>
    <row r="36" spans="1:9">
      <c r="A36" s="10" t="s">
        <v>1178</v>
      </c>
      <c r="B36" s="10" t="s">
        <v>1179</v>
      </c>
      <c r="G36" s="62">
        <v>3395519</v>
      </c>
      <c r="H36" s="63" t="s">
        <v>1180</v>
      </c>
      <c r="I36" s="64" t="s">
        <v>1143</v>
      </c>
    </row>
    <row r="37" spans="1:9">
      <c r="A37" s="10" t="s">
        <v>1181</v>
      </c>
      <c r="B37" s="10" t="s">
        <v>1182</v>
      </c>
      <c r="G37" s="62">
        <v>3395768</v>
      </c>
      <c r="H37" s="63" t="s">
        <v>1180</v>
      </c>
      <c r="I37" s="64" t="s">
        <v>1143</v>
      </c>
    </row>
    <row r="38" spans="1:9">
      <c r="A38" s="10" t="s">
        <v>1183</v>
      </c>
      <c r="B38" s="10" t="s">
        <v>1184</v>
      </c>
      <c r="G38" s="62">
        <v>3392840</v>
      </c>
      <c r="H38" s="63" t="s">
        <v>1185</v>
      </c>
      <c r="I38" s="64" t="s">
        <v>1143</v>
      </c>
    </row>
    <row r="39" spans="1:9">
      <c r="A39" s="10" t="s">
        <v>1186</v>
      </c>
      <c r="B39" s="10" t="s">
        <v>1187</v>
      </c>
      <c r="G39" s="62">
        <v>3392841</v>
      </c>
      <c r="H39" s="63" t="s">
        <v>1188</v>
      </c>
      <c r="I39" s="64" t="s">
        <v>1135</v>
      </c>
    </row>
    <row r="40" spans="1:9">
      <c r="A40" s="10" t="s">
        <v>791</v>
      </c>
      <c r="B40" s="10" t="s">
        <v>1189</v>
      </c>
      <c r="C40" t="s">
        <v>1169</v>
      </c>
      <c r="G40" s="62">
        <v>3392842</v>
      </c>
      <c r="H40" s="63" t="s">
        <v>1188</v>
      </c>
      <c r="I40" s="64" t="s">
        <v>1135</v>
      </c>
    </row>
    <row r="41" spans="1:9">
      <c r="A41" s="10" t="s">
        <v>1190</v>
      </c>
      <c r="B41" s="10" t="s">
        <v>1191</v>
      </c>
      <c r="G41" s="62">
        <v>3392843</v>
      </c>
      <c r="H41" s="63" t="s">
        <v>1192</v>
      </c>
      <c r="I41" s="64" t="s">
        <v>1135</v>
      </c>
    </row>
    <row r="42" spans="1:9">
      <c r="A42" s="10" t="s">
        <v>449</v>
      </c>
      <c r="B42" s="10" t="s">
        <v>1193</v>
      </c>
      <c r="C42" t="s">
        <v>1169</v>
      </c>
      <c r="G42" s="62">
        <v>3392844</v>
      </c>
      <c r="H42" s="63" t="s">
        <v>1185</v>
      </c>
      <c r="I42" s="64" t="s">
        <v>1143</v>
      </c>
    </row>
    <row r="43" spans="1:9">
      <c r="A43" s="10" t="s">
        <v>452</v>
      </c>
      <c r="B43" s="10" t="s">
        <v>1194</v>
      </c>
      <c r="C43" t="s">
        <v>1169</v>
      </c>
      <c r="G43" s="62">
        <v>3392845</v>
      </c>
      <c r="H43" s="63" t="s">
        <v>1195</v>
      </c>
      <c r="I43" s="64" t="s">
        <v>1143</v>
      </c>
    </row>
    <row r="44" spans="1:9">
      <c r="A44" s="10" t="s">
        <v>431</v>
      </c>
      <c r="B44" s="10" t="s">
        <v>1196</v>
      </c>
      <c r="C44" t="s">
        <v>1169</v>
      </c>
      <c r="G44" s="62">
        <v>3392846</v>
      </c>
      <c r="H44" s="63" t="s">
        <v>1197</v>
      </c>
      <c r="I44" s="64" t="s">
        <v>1143</v>
      </c>
    </row>
    <row r="45" spans="1:9">
      <c r="A45" s="10" t="s">
        <v>500</v>
      </c>
      <c r="B45" s="10" t="s">
        <v>1198</v>
      </c>
      <c r="C45" t="s">
        <v>1169</v>
      </c>
      <c r="G45" s="62">
        <v>3392847</v>
      </c>
      <c r="H45" s="63" t="s">
        <v>1199</v>
      </c>
      <c r="I45" s="64" t="s">
        <v>1200</v>
      </c>
    </row>
    <row r="46" spans="1:9">
      <c r="A46" s="10" t="s">
        <v>495</v>
      </c>
      <c r="B46" s="10" t="s">
        <v>1201</v>
      </c>
      <c r="C46" t="s">
        <v>1169</v>
      </c>
      <c r="G46" s="62">
        <v>3392848</v>
      </c>
      <c r="H46" s="63" t="s">
        <v>1199</v>
      </c>
      <c r="I46" s="64" t="s">
        <v>1200</v>
      </c>
    </row>
    <row r="47" spans="1:9">
      <c r="A47" s="10" t="s">
        <v>490</v>
      </c>
      <c r="B47" s="10" t="s">
        <v>1202</v>
      </c>
      <c r="C47" t="s">
        <v>1169</v>
      </c>
      <c r="G47" s="62">
        <v>3392849</v>
      </c>
      <c r="H47" s="63" t="s">
        <v>1199</v>
      </c>
      <c r="I47" s="64" t="s">
        <v>1200</v>
      </c>
    </row>
    <row r="48" spans="1:9">
      <c r="A48" s="10" t="s">
        <v>507</v>
      </c>
      <c r="B48" s="10" t="s">
        <v>1203</v>
      </c>
      <c r="C48" t="s">
        <v>1169</v>
      </c>
      <c r="G48" s="62">
        <v>3392850</v>
      </c>
      <c r="H48" s="63" t="s">
        <v>1199</v>
      </c>
      <c r="I48" s="64" t="s">
        <v>1200</v>
      </c>
    </row>
    <row r="49" spans="1:9">
      <c r="A49" s="10" t="s">
        <v>1204</v>
      </c>
      <c r="B49" s="10" t="s">
        <v>1205</v>
      </c>
      <c r="C49" t="s">
        <v>1169</v>
      </c>
      <c r="G49" s="62">
        <v>3392851</v>
      </c>
      <c r="H49" s="63" t="s">
        <v>1199</v>
      </c>
      <c r="I49" s="64" t="s">
        <v>1200</v>
      </c>
    </row>
    <row r="50" spans="1:9">
      <c r="A50" s="10" t="s">
        <v>1206</v>
      </c>
      <c r="B50" s="10" t="s">
        <v>1207</v>
      </c>
      <c r="G50" s="62">
        <v>3392852</v>
      </c>
      <c r="H50" s="63" t="s">
        <v>1199</v>
      </c>
      <c r="I50" s="64" t="s">
        <v>1200</v>
      </c>
    </row>
    <row r="51" spans="1:9">
      <c r="A51" s="10" t="s">
        <v>1208</v>
      </c>
      <c r="B51" s="10" t="s">
        <v>1209</v>
      </c>
      <c r="G51" s="62">
        <v>3392853</v>
      </c>
      <c r="H51" s="63" t="s">
        <v>1199</v>
      </c>
      <c r="I51" s="64" t="s">
        <v>1200</v>
      </c>
    </row>
    <row r="52" spans="1:9">
      <c r="A52" s="10" t="s">
        <v>1210</v>
      </c>
      <c r="B52" s="10" t="s">
        <v>1211</v>
      </c>
      <c r="G52" s="62">
        <v>3392854</v>
      </c>
      <c r="H52" s="63" t="s">
        <v>1199</v>
      </c>
      <c r="I52" s="64" t="s">
        <v>1200</v>
      </c>
    </row>
    <row r="53" spans="1:9">
      <c r="A53" s="10" t="s">
        <v>800</v>
      </c>
      <c r="B53" s="10" t="s">
        <v>1212</v>
      </c>
      <c r="C53" t="s">
        <v>1169</v>
      </c>
      <c r="G53" s="62">
        <v>3392855</v>
      </c>
      <c r="H53" s="63" t="s">
        <v>1199</v>
      </c>
      <c r="I53" s="64" t="s">
        <v>1200</v>
      </c>
    </row>
    <row r="54" spans="1:9">
      <c r="A54" s="10" t="s">
        <v>1213</v>
      </c>
      <c r="B54" s="10" t="s">
        <v>1214</v>
      </c>
      <c r="G54" s="62">
        <v>3392856</v>
      </c>
      <c r="H54" s="63" t="s">
        <v>1199</v>
      </c>
      <c r="I54" s="64" t="s">
        <v>1200</v>
      </c>
    </row>
    <row r="55" spans="1:9">
      <c r="A55" s="10" t="s">
        <v>476</v>
      </c>
      <c r="B55" s="10" t="s">
        <v>1215</v>
      </c>
      <c r="C55" t="s">
        <v>1154</v>
      </c>
      <c r="G55" s="62">
        <v>3392857</v>
      </c>
      <c r="H55" s="63" t="s">
        <v>1199</v>
      </c>
      <c r="I55" s="64" t="s">
        <v>1200</v>
      </c>
    </row>
    <row r="56" spans="1:9">
      <c r="A56" s="10" t="s">
        <v>847</v>
      </c>
      <c r="B56" s="10" t="s">
        <v>1216</v>
      </c>
      <c r="C56" t="s">
        <v>1154</v>
      </c>
      <c r="G56" s="62">
        <v>3392858</v>
      </c>
      <c r="H56" s="63" t="s">
        <v>1199</v>
      </c>
      <c r="I56" s="64" t="s">
        <v>1200</v>
      </c>
    </row>
    <row r="57" spans="1:9">
      <c r="A57" s="10" t="s">
        <v>1217</v>
      </c>
      <c r="B57" s="10" t="s">
        <v>1218</v>
      </c>
      <c r="G57" s="62">
        <v>3392859</v>
      </c>
      <c r="H57" s="63" t="s">
        <v>1199</v>
      </c>
      <c r="I57" s="64" t="s">
        <v>1200</v>
      </c>
    </row>
    <row r="58" spans="1:9">
      <c r="A58" s="10" t="s">
        <v>1219</v>
      </c>
      <c r="B58" s="10" t="s">
        <v>1220</v>
      </c>
      <c r="G58" s="62">
        <v>3392860</v>
      </c>
      <c r="H58" s="63" t="s">
        <v>1221</v>
      </c>
      <c r="I58" s="64" t="s">
        <v>1222</v>
      </c>
    </row>
    <row r="59" spans="1:9">
      <c r="A59" s="10" t="s">
        <v>998</v>
      </c>
      <c r="B59" s="10" t="s">
        <v>1223</v>
      </c>
      <c r="C59" t="s">
        <v>1154</v>
      </c>
      <c r="G59" s="62">
        <v>3392861</v>
      </c>
      <c r="H59" s="63" t="s">
        <v>1221</v>
      </c>
      <c r="I59" s="64" t="s">
        <v>1224</v>
      </c>
    </row>
    <row r="60" spans="1:9">
      <c r="A60" s="10" t="s">
        <v>1225</v>
      </c>
      <c r="B60" s="10" t="s">
        <v>1226</v>
      </c>
      <c r="G60" s="62">
        <v>3392862</v>
      </c>
      <c r="H60" s="63" t="s">
        <v>1227</v>
      </c>
      <c r="I60" s="64" t="s">
        <v>1228</v>
      </c>
    </row>
    <row r="61" spans="1:9">
      <c r="A61" s="10" t="s">
        <v>99</v>
      </c>
      <c r="B61" s="10" t="s">
        <v>1229</v>
      </c>
      <c r="G61" s="62">
        <v>3392863</v>
      </c>
      <c r="H61" s="63" t="s">
        <v>1230</v>
      </c>
      <c r="I61" s="64" t="s">
        <v>1231</v>
      </c>
    </row>
    <row r="62" spans="1:9">
      <c r="A62" s="10" t="s">
        <v>892</v>
      </c>
      <c r="B62" s="10" t="s">
        <v>1232</v>
      </c>
      <c r="C62" t="s">
        <v>1125</v>
      </c>
      <c r="G62" s="62">
        <v>3392864</v>
      </c>
      <c r="H62" s="63" t="s">
        <v>1233</v>
      </c>
      <c r="I62" s="64" t="s">
        <v>1231</v>
      </c>
    </row>
    <row r="63" spans="1:9">
      <c r="A63" s="10" t="s">
        <v>878</v>
      </c>
      <c r="B63" s="10" t="s">
        <v>1234</v>
      </c>
      <c r="C63" t="s">
        <v>1125</v>
      </c>
      <c r="G63" s="62">
        <v>3392865</v>
      </c>
      <c r="H63" s="63" t="s">
        <v>1235</v>
      </c>
      <c r="I63" s="64" t="s">
        <v>1236</v>
      </c>
    </row>
    <row r="64" spans="1:9">
      <c r="A64" s="10" t="s">
        <v>625</v>
      </c>
      <c r="B64" s="10" t="s">
        <v>1237</v>
      </c>
      <c r="C64" t="s">
        <v>1152</v>
      </c>
      <c r="G64" s="62">
        <v>3392866</v>
      </c>
      <c r="H64" s="63" t="s">
        <v>1235</v>
      </c>
      <c r="I64" s="64" t="s">
        <v>1236</v>
      </c>
    </row>
    <row r="65" spans="1:9">
      <c r="A65" s="10" t="s">
        <v>922</v>
      </c>
      <c r="B65" s="10" t="s">
        <v>1238</v>
      </c>
      <c r="C65" t="s">
        <v>1125</v>
      </c>
      <c r="G65" s="62">
        <v>3392867</v>
      </c>
      <c r="H65" s="63" t="s">
        <v>1235</v>
      </c>
      <c r="I65" s="64" t="s">
        <v>1236</v>
      </c>
    </row>
    <row r="66" spans="1:9">
      <c r="A66" s="11" t="s">
        <v>365</v>
      </c>
      <c r="B66" s="12" t="s">
        <v>1227</v>
      </c>
      <c r="C66" t="s">
        <v>1169</v>
      </c>
      <c r="G66" s="62">
        <v>3392868</v>
      </c>
      <c r="H66" s="63" t="s">
        <v>1235</v>
      </c>
      <c r="I66" s="64" t="s">
        <v>1236</v>
      </c>
    </row>
    <row r="67" spans="1:9">
      <c r="A67" s="11" t="s">
        <v>188</v>
      </c>
      <c r="B67" s="12" t="s">
        <v>1239</v>
      </c>
      <c r="G67" s="62">
        <v>3392869</v>
      </c>
      <c r="H67" s="63" t="s">
        <v>1235</v>
      </c>
      <c r="I67" s="64" t="s">
        <v>1236</v>
      </c>
    </row>
    <row r="68" spans="1:9">
      <c r="A68" s="11" t="s">
        <v>211</v>
      </c>
      <c r="B68" s="12" t="s">
        <v>1240</v>
      </c>
      <c r="G68" s="62">
        <v>3392870</v>
      </c>
      <c r="H68" s="63" t="s">
        <v>1235</v>
      </c>
      <c r="I68" s="64" t="s">
        <v>1236</v>
      </c>
    </row>
    <row r="69" spans="1:9">
      <c r="A69" s="11" t="s">
        <v>261</v>
      </c>
      <c r="B69" s="12" t="s">
        <v>1241</v>
      </c>
      <c r="G69" s="62">
        <v>3392871</v>
      </c>
      <c r="H69" s="63" t="s">
        <v>1235</v>
      </c>
      <c r="I69" s="64" t="s">
        <v>1236</v>
      </c>
    </row>
    <row r="70" spans="1:9">
      <c r="A70" s="11" t="s">
        <v>147</v>
      </c>
      <c r="B70" s="12" t="s">
        <v>1145</v>
      </c>
      <c r="G70" s="62">
        <v>3392872</v>
      </c>
      <c r="H70" s="63" t="s">
        <v>1235</v>
      </c>
      <c r="I70" s="64" t="s">
        <v>1236</v>
      </c>
    </row>
    <row r="71" spans="1:9">
      <c r="A71" s="11" t="s">
        <v>116</v>
      </c>
      <c r="B71" s="12" t="s">
        <v>1242</v>
      </c>
      <c r="G71" s="62">
        <v>3392873</v>
      </c>
      <c r="H71" s="63" t="s">
        <v>1235</v>
      </c>
      <c r="I71" s="64" t="s">
        <v>1236</v>
      </c>
    </row>
    <row r="72" spans="1:9">
      <c r="A72" s="11" t="s">
        <v>83</v>
      </c>
      <c r="B72" s="12" t="s">
        <v>1243</v>
      </c>
      <c r="G72" s="62">
        <v>3392874</v>
      </c>
      <c r="H72" s="63" t="s">
        <v>1235</v>
      </c>
      <c r="I72" s="64" t="s">
        <v>1236</v>
      </c>
    </row>
    <row r="73" spans="1:9">
      <c r="A73" s="11" t="s">
        <v>69</v>
      </c>
      <c r="B73" s="12" t="s">
        <v>1244</v>
      </c>
      <c r="G73" s="62">
        <v>3392875</v>
      </c>
      <c r="H73" s="63" t="s">
        <v>1235</v>
      </c>
      <c r="I73" s="64" t="s">
        <v>1236</v>
      </c>
    </row>
    <row r="74" spans="1:9">
      <c r="A74" s="11" t="s">
        <v>221</v>
      </c>
      <c r="B74" s="12" t="s">
        <v>1245</v>
      </c>
      <c r="G74" s="62">
        <v>3392876</v>
      </c>
      <c r="H74" s="63" t="s">
        <v>1246</v>
      </c>
      <c r="I74" s="64" t="s">
        <v>1247</v>
      </c>
    </row>
    <row r="75" spans="1:9">
      <c r="A75" s="11" t="s">
        <v>246</v>
      </c>
      <c r="B75" s="12" t="s">
        <v>1248</v>
      </c>
      <c r="G75" s="62">
        <v>3392877</v>
      </c>
      <c r="H75" s="63" t="s">
        <v>1246</v>
      </c>
      <c r="I75" s="64" t="s">
        <v>1247</v>
      </c>
    </row>
    <row r="76" spans="1:9">
      <c r="A76" s="13" t="s">
        <v>43</v>
      </c>
      <c r="B76" s="14" t="s">
        <v>1249</v>
      </c>
      <c r="G76" s="62">
        <v>3392878</v>
      </c>
      <c r="H76" s="63" t="s">
        <v>1250</v>
      </c>
      <c r="I76" s="64" t="s">
        <v>1251</v>
      </c>
    </row>
    <row r="77" spans="1:9">
      <c r="A77" s="13" t="s">
        <v>778</v>
      </c>
      <c r="B77" s="14" t="s">
        <v>1252</v>
      </c>
      <c r="C77" t="s">
        <v>1125</v>
      </c>
      <c r="G77" s="62">
        <v>3392879</v>
      </c>
      <c r="H77" s="63" t="s">
        <v>1250</v>
      </c>
      <c r="I77" s="64" t="s">
        <v>1251</v>
      </c>
    </row>
    <row r="78" spans="1:9">
      <c r="A78" s="13" t="s">
        <v>978</v>
      </c>
      <c r="B78" t="s">
        <v>1253</v>
      </c>
      <c r="C78" t="s">
        <v>1152</v>
      </c>
      <c r="G78" s="62">
        <v>3392880</v>
      </c>
      <c r="H78" s="63" t="s">
        <v>1254</v>
      </c>
      <c r="I78" s="64" t="s">
        <v>1255</v>
      </c>
    </row>
    <row r="79" spans="1:9">
      <c r="A79" s="15" t="s">
        <v>1256</v>
      </c>
      <c r="B79" t="s">
        <v>1257</v>
      </c>
      <c r="G79" s="62">
        <v>3392881</v>
      </c>
      <c r="H79" s="63" t="s">
        <v>1254</v>
      </c>
      <c r="I79" s="64" t="s">
        <v>1255</v>
      </c>
    </row>
    <row r="80" spans="1:9">
      <c r="A80" s="36" t="s">
        <v>163</v>
      </c>
      <c r="B80" t="s">
        <v>1258</v>
      </c>
      <c r="G80" s="62">
        <v>3392882</v>
      </c>
      <c r="H80" s="63" t="s">
        <v>1254</v>
      </c>
      <c r="I80" s="64" t="s">
        <v>1222</v>
      </c>
    </row>
    <row r="81" spans="1:9">
      <c r="A81" s="55" t="s">
        <v>1259</v>
      </c>
      <c r="B81" s="55" t="s">
        <v>1260</v>
      </c>
      <c r="G81" s="62">
        <v>3392883</v>
      </c>
      <c r="H81" s="63" t="s">
        <v>1261</v>
      </c>
      <c r="I81" s="64" t="s">
        <v>1262</v>
      </c>
    </row>
    <row r="82" spans="1:9">
      <c r="A82" s="55" t="s">
        <v>1001</v>
      </c>
      <c r="B82" s="55" t="s">
        <v>1263</v>
      </c>
      <c r="C82" t="s">
        <v>1154</v>
      </c>
      <c r="G82" s="62">
        <v>3392884</v>
      </c>
      <c r="H82" s="63" t="s">
        <v>1261</v>
      </c>
      <c r="I82" s="64" t="s">
        <v>1264</v>
      </c>
    </row>
    <row r="83" spans="1:9">
      <c r="A83" s="55" t="s">
        <v>1265</v>
      </c>
      <c r="B83" s="55" t="s">
        <v>1266</v>
      </c>
      <c r="C83" t="s">
        <v>1154</v>
      </c>
      <c r="G83" s="62">
        <v>3392885</v>
      </c>
      <c r="H83" s="63" t="s">
        <v>1261</v>
      </c>
      <c r="I83" s="64" t="s">
        <v>1264</v>
      </c>
    </row>
    <row r="84" spans="1:9">
      <c r="A84" s="55" t="s">
        <v>1267</v>
      </c>
      <c r="B84" s="55" t="s">
        <v>1268</v>
      </c>
      <c r="C84" t="s">
        <v>1154</v>
      </c>
      <c r="G84" s="62">
        <v>3393252</v>
      </c>
      <c r="H84" s="63" t="s">
        <v>1269</v>
      </c>
      <c r="I84" s="64" t="s">
        <v>1264</v>
      </c>
    </row>
    <row r="85" spans="1:9">
      <c r="A85" s="55" t="s">
        <v>1270</v>
      </c>
      <c r="B85" s="55" t="s">
        <v>1271</v>
      </c>
      <c r="C85" t="s">
        <v>1154</v>
      </c>
      <c r="G85" s="62">
        <v>3392886</v>
      </c>
      <c r="H85" s="63" t="s">
        <v>1272</v>
      </c>
      <c r="I85" s="64" t="s">
        <v>1200</v>
      </c>
    </row>
    <row r="86" spans="1:9">
      <c r="A86" s="55" t="s">
        <v>1273</v>
      </c>
      <c r="B86" s="55" t="s">
        <v>1274</v>
      </c>
      <c r="C86" t="s">
        <v>1154</v>
      </c>
      <c r="G86" s="62">
        <v>3392887</v>
      </c>
      <c r="H86" s="63" t="s">
        <v>1272</v>
      </c>
      <c r="I86" s="64" t="s">
        <v>1200</v>
      </c>
    </row>
    <row r="87" spans="1:9">
      <c r="A87" s="55" t="s">
        <v>1078</v>
      </c>
      <c r="B87" s="55" t="s">
        <v>1275</v>
      </c>
      <c r="C87" t="s">
        <v>1154</v>
      </c>
      <c r="G87" s="62">
        <v>3392888</v>
      </c>
      <c r="H87" s="63" t="s">
        <v>1272</v>
      </c>
      <c r="I87" s="64" t="s">
        <v>1200</v>
      </c>
    </row>
    <row r="88" spans="1:9">
      <c r="A88" s="55" t="s">
        <v>1276</v>
      </c>
      <c r="B88" s="55" t="s">
        <v>1277</v>
      </c>
      <c r="C88" t="s">
        <v>1154</v>
      </c>
      <c r="G88" s="62">
        <v>3392889</v>
      </c>
      <c r="H88" s="63" t="s">
        <v>1272</v>
      </c>
      <c r="I88" s="64" t="s">
        <v>1200</v>
      </c>
    </row>
    <row r="89" spans="1:9">
      <c r="A89" s="55" t="s">
        <v>1090</v>
      </c>
      <c r="B89" s="55" t="s">
        <v>1278</v>
      </c>
      <c r="C89" t="s">
        <v>1154</v>
      </c>
      <c r="G89" s="62">
        <v>3392890</v>
      </c>
      <c r="H89" s="63" t="s">
        <v>1272</v>
      </c>
      <c r="I89" s="64" t="s">
        <v>1200</v>
      </c>
    </row>
    <row r="90" spans="1:9">
      <c r="A90" s="55" t="s">
        <v>1279</v>
      </c>
      <c r="B90" s="55" t="s">
        <v>1280</v>
      </c>
      <c r="C90" t="s">
        <v>1154</v>
      </c>
      <c r="G90" s="62">
        <v>3392891</v>
      </c>
      <c r="H90" s="63" t="s">
        <v>1272</v>
      </c>
      <c r="I90" s="64" t="s">
        <v>1200</v>
      </c>
    </row>
    <row r="91" spans="1:9">
      <c r="A91" s="55" t="s">
        <v>1281</v>
      </c>
      <c r="B91" s="55" t="s">
        <v>1282</v>
      </c>
      <c r="C91" t="s">
        <v>1154</v>
      </c>
      <c r="G91" s="62">
        <v>3392892</v>
      </c>
      <c r="H91" s="63" t="s">
        <v>1272</v>
      </c>
      <c r="I91" s="64" t="s">
        <v>1200</v>
      </c>
    </row>
    <row r="92" spans="1:9">
      <c r="A92" s="55" t="s">
        <v>1283</v>
      </c>
      <c r="B92" s="55" t="s">
        <v>1284</v>
      </c>
      <c r="C92" t="s">
        <v>1154</v>
      </c>
      <c r="G92" s="62">
        <v>3392893</v>
      </c>
      <c r="H92" s="63" t="s">
        <v>1272</v>
      </c>
      <c r="I92" s="64" t="s">
        <v>1200</v>
      </c>
    </row>
    <row r="93" spans="1:9">
      <c r="A93" s="55" t="s">
        <v>1285</v>
      </c>
      <c r="B93" s="55" t="s">
        <v>1286</v>
      </c>
      <c r="C93" t="s">
        <v>1125</v>
      </c>
      <c r="G93" s="62">
        <v>3392894</v>
      </c>
      <c r="H93" s="63" t="s">
        <v>1287</v>
      </c>
      <c r="I93" s="64" t="s">
        <v>1236</v>
      </c>
    </row>
    <row r="94" spans="1:9">
      <c r="A94" s="55" t="s">
        <v>1288</v>
      </c>
      <c r="B94" s="55" t="s">
        <v>1289</v>
      </c>
      <c r="C94" t="s">
        <v>1154</v>
      </c>
      <c r="G94" s="62">
        <v>3392895</v>
      </c>
      <c r="H94" s="63" t="s">
        <v>1290</v>
      </c>
      <c r="I94" s="64" t="s">
        <v>1291</v>
      </c>
    </row>
    <row r="95" spans="1:9">
      <c r="A95" s="55" t="s">
        <v>1292</v>
      </c>
      <c r="B95" s="55" t="s">
        <v>1293</v>
      </c>
      <c r="C95" t="s">
        <v>1154</v>
      </c>
      <c r="G95" s="62">
        <v>3392897</v>
      </c>
      <c r="H95" s="63" t="s">
        <v>1290</v>
      </c>
      <c r="I95" s="64" t="s">
        <v>1291</v>
      </c>
    </row>
    <row r="96" spans="1:9">
      <c r="A96" s="55" t="s">
        <v>1294</v>
      </c>
      <c r="B96" s="55" t="s">
        <v>1295</v>
      </c>
      <c r="C96" t="s">
        <v>1154</v>
      </c>
      <c r="G96" s="62">
        <v>3392899</v>
      </c>
      <c r="H96" s="63" t="s">
        <v>1287</v>
      </c>
      <c r="I96" s="64" t="s">
        <v>1236</v>
      </c>
    </row>
    <row r="97" spans="1:9">
      <c r="A97" s="55" t="s">
        <v>1296</v>
      </c>
      <c r="B97" s="55" t="s">
        <v>1297</v>
      </c>
      <c r="C97" t="s">
        <v>1154</v>
      </c>
      <c r="G97" s="62">
        <v>3392900</v>
      </c>
      <c r="H97" s="63" t="s">
        <v>1287</v>
      </c>
      <c r="I97" s="64" t="s">
        <v>1236</v>
      </c>
    </row>
    <row r="98" spans="1:9">
      <c r="A98" s="55" t="s">
        <v>1298</v>
      </c>
      <c r="B98" s="55" t="s">
        <v>1299</v>
      </c>
      <c r="C98" t="s">
        <v>1154</v>
      </c>
      <c r="G98" s="62">
        <v>3392901</v>
      </c>
      <c r="H98" s="63" t="s">
        <v>1287</v>
      </c>
      <c r="I98" s="64" t="s">
        <v>1236</v>
      </c>
    </row>
    <row r="99" spans="1:9">
      <c r="A99" s="55" t="s">
        <v>1300</v>
      </c>
      <c r="B99" s="55" t="s">
        <v>1301</v>
      </c>
      <c r="G99" s="62">
        <v>3392902</v>
      </c>
      <c r="H99" s="63" t="s">
        <v>1287</v>
      </c>
      <c r="I99" s="64" t="s">
        <v>1236</v>
      </c>
    </row>
    <row r="100" spans="1:9">
      <c r="A100" s="55" t="s">
        <v>1302</v>
      </c>
      <c r="B100" s="55" t="s">
        <v>1303</v>
      </c>
      <c r="G100" s="62">
        <v>3392903</v>
      </c>
      <c r="H100" s="63" t="s">
        <v>1287</v>
      </c>
      <c r="I100" s="64" t="s">
        <v>1236</v>
      </c>
    </row>
    <row r="101" spans="1:9">
      <c r="A101" s="55" t="s">
        <v>304</v>
      </c>
      <c r="B101" s="55" t="s">
        <v>1257</v>
      </c>
      <c r="G101" s="62">
        <v>3392904</v>
      </c>
      <c r="H101" s="63" t="s">
        <v>1287</v>
      </c>
      <c r="I101" s="64" t="s">
        <v>1236</v>
      </c>
    </row>
    <row r="102" spans="1:9">
      <c r="A102" s="55" t="s">
        <v>1304</v>
      </c>
      <c r="B102" s="55" t="s">
        <v>1305</v>
      </c>
      <c r="G102" s="62">
        <v>3392905</v>
      </c>
      <c r="H102" s="63" t="s">
        <v>1287</v>
      </c>
      <c r="I102" s="64" t="s">
        <v>1236</v>
      </c>
    </row>
    <row r="103" spans="1:9">
      <c r="A103" s="55" t="s">
        <v>1306</v>
      </c>
      <c r="B103" s="55" t="s">
        <v>1307</v>
      </c>
      <c r="G103" s="62">
        <v>3392906</v>
      </c>
      <c r="H103" s="63" t="s">
        <v>1287</v>
      </c>
      <c r="I103" s="64" t="s">
        <v>1236</v>
      </c>
    </row>
    <row r="104" spans="1:9">
      <c r="A104" s="55" t="s">
        <v>1308</v>
      </c>
      <c r="B104" s="55" t="s">
        <v>1309</v>
      </c>
      <c r="G104" s="62">
        <v>3392907</v>
      </c>
      <c r="H104" s="63" t="s">
        <v>1287</v>
      </c>
      <c r="I104" s="64" t="s">
        <v>1236</v>
      </c>
    </row>
    <row r="105" spans="1:9">
      <c r="A105" s="55" t="s">
        <v>1310</v>
      </c>
      <c r="B105" s="55" t="s">
        <v>1311</v>
      </c>
      <c r="G105" s="62">
        <v>3392908</v>
      </c>
      <c r="H105" s="63" t="s">
        <v>1287</v>
      </c>
      <c r="I105" s="64" t="s">
        <v>1236</v>
      </c>
    </row>
    <row r="106" spans="1:9">
      <c r="A106" s="55" t="s">
        <v>1065</v>
      </c>
      <c r="B106" s="55" t="s">
        <v>1312</v>
      </c>
      <c r="G106" s="62">
        <v>3392909</v>
      </c>
      <c r="H106" s="63" t="s">
        <v>1287</v>
      </c>
      <c r="I106" s="64" t="s">
        <v>1236</v>
      </c>
    </row>
    <row r="107" spans="1:9">
      <c r="A107" s="55" t="s">
        <v>1313</v>
      </c>
      <c r="B107" s="55" t="s">
        <v>1314</v>
      </c>
      <c r="G107" s="62">
        <v>3392910</v>
      </c>
      <c r="H107" s="63" t="s">
        <v>1287</v>
      </c>
      <c r="I107" s="64" t="s">
        <v>1236</v>
      </c>
    </row>
    <row r="108" spans="1:9">
      <c r="A108" s="55" t="s">
        <v>1315</v>
      </c>
      <c r="B108" s="55" t="s">
        <v>1305</v>
      </c>
      <c r="G108" s="62">
        <v>3392911</v>
      </c>
      <c r="H108" s="63" t="s">
        <v>1287</v>
      </c>
      <c r="I108" s="64" t="s">
        <v>1236</v>
      </c>
    </row>
    <row r="109" spans="1:9">
      <c r="A109" s="55" t="s">
        <v>1316</v>
      </c>
      <c r="B109" s="55" t="s">
        <v>1317</v>
      </c>
      <c r="G109" s="62">
        <v>3392912</v>
      </c>
      <c r="H109" s="63" t="s">
        <v>1287</v>
      </c>
      <c r="I109" s="64" t="s">
        <v>1236</v>
      </c>
    </row>
    <row r="110" spans="1:9">
      <c r="A110" s="55" t="s">
        <v>1318</v>
      </c>
      <c r="B110" s="55" t="s">
        <v>1319</v>
      </c>
      <c r="G110" s="62">
        <v>3392913</v>
      </c>
      <c r="H110" s="63" t="s">
        <v>1287</v>
      </c>
      <c r="I110" s="64" t="s">
        <v>1236</v>
      </c>
    </row>
    <row r="111" spans="1:9">
      <c r="A111" s="55" t="s">
        <v>1320</v>
      </c>
      <c r="B111" s="55" t="s">
        <v>1305</v>
      </c>
      <c r="G111" s="62">
        <v>3392914</v>
      </c>
      <c r="H111" s="63" t="s">
        <v>1287</v>
      </c>
      <c r="I111" s="64" t="s">
        <v>1236</v>
      </c>
    </row>
    <row r="112" spans="1:9">
      <c r="A112" s="55" t="s">
        <v>1321</v>
      </c>
      <c r="B112" s="55" t="s">
        <v>1317</v>
      </c>
      <c r="G112" s="62">
        <v>3392915</v>
      </c>
      <c r="H112" s="63" t="s">
        <v>1322</v>
      </c>
      <c r="I112" s="64" t="s">
        <v>1247</v>
      </c>
    </row>
    <row r="113" spans="1:9">
      <c r="A113" s="55" t="s">
        <v>326</v>
      </c>
      <c r="B113" s="55" t="s">
        <v>1323</v>
      </c>
      <c r="G113" s="62">
        <v>3392916</v>
      </c>
      <c r="H113" s="63" t="s">
        <v>1322</v>
      </c>
      <c r="I113" s="64" t="s">
        <v>1247</v>
      </c>
    </row>
    <row r="114" spans="1:9">
      <c r="A114" s="55" t="s">
        <v>1324</v>
      </c>
      <c r="B114" s="55" t="s">
        <v>1325</v>
      </c>
      <c r="G114" s="62">
        <v>3392917</v>
      </c>
      <c r="H114" s="63" t="s">
        <v>1326</v>
      </c>
      <c r="I114" s="64" t="s">
        <v>1251</v>
      </c>
    </row>
    <row r="115" spans="1:9">
      <c r="A115" s="55" t="s">
        <v>1327</v>
      </c>
      <c r="B115" s="55" t="s">
        <v>1311</v>
      </c>
      <c r="G115" s="62">
        <v>3392918</v>
      </c>
      <c r="H115" s="63" t="s">
        <v>1326</v>
      </c>
      <c r="I115" s="64" t="s">
        <v>1251</v>
      </c>
    </row>
    <row r="116" spans="1:9">
      <c r="A116" s="55" t="s">
        <v>1101</v>
      </c>
      <c r="B116" s="55" t="s">
        <v>1328</v>
      </c>
      <c r="G116" s="62">
        <v>3392919</v>
      </c>
      <c r="H116" s="63" t="s">
        <v>1329</v>
      </c>
      <c r="I116" s="64" t="s">
        <v>1330</v>
      </c>
    </row>
    <row r="117" spans="1:9">
      <c r="A117" s="55" t="s">
        <v>1331</v>
      </c>
      <c r="B117" s="55" t="s">
        <v>1332</v>
      </c>
      <c r="G117" s="62">
        <v>3392920</v>
      </c>
      <c r="H117" s="63" t="s">
        <v>1329</v>
      </c>
      <c r="I117" s="64" t="s">
        <v>1330</v>
      </c>
    </row>
    <row r="118" spans="1:9">
      <c r="A118" s="55" t="s">
        <v>1333</v>
      </c>
      <c r="B118" s="55" t="s">
        <v>1309</v>
      </c>
      <c r="G118" s="62">
        <v>3392921</v>
      </c>
      <c r="H118" s="63" t="s">
        <v>1326</v>
      </c>
      <c r="I118" s="64" t="s">
        <v>1222</v>
      </c>
    </row>
    <row r="119" spans="1:9">
      <c r="A119" s="55" t="s">
        <v>312</v>
      </c>
      <c r="B119" s="55" t="s">
        <v>1334</v>
      </c>
      <c r="G119" s="62">
        <v>3392922</v>
      </c>
      <c r="H119" s="63" t="s">
        <v>1335</v>
      </c>
      <c r="I119" s="64" t="s">
        <v>1264</v>
      </c>
    </row>
    <row r="120" spans="1:9">
      <c r="A120" s="55" t="s">
        <v>79</v>
      </c>
      <c r="B120" s="55" t="s">
        <v>1336</v>
      </c>
      <c r="G120" s="62">
        <v>3392923</v>
      </c>
      <c r="H120" s="63" t="s">
        <v>1335</v>
      </c>
      <c r="I120" s="64" t="s">
        <v>1262</v>
      </c>
    </row>
    <row r="121" spans="1:9">
      <c r="A121" s="55" t="s">
        <v>287</v>
      </c>
      <c r="B121" s="55" t="s">
        <v>1337</v>
      </c>
      <c r="G121" s="62">
        <v>3392924</v>
      </c>
      <c r="H121" s="63" t="s">
        <v>1335</v>
      </c>
      <c r="I121" s="64" t="s">
        <v>1338</v>
      </c>
    </row>
    <row r="122" spans="1:9">
      <c r="A122" s="55" t="s">
        <v>1339</v>
      </c>
      <c r="B122" s="55" t="s">
        <v>1340</v>
      </c>
      <c r="C122" t="s">
        <v>1125</v>
      </c>
      <c r="G122" s="62">
        <v>3392925</v>
      </c>
      <c r="H122" s="63" t="s">
        <v>1341</v>
      </c>
      <c r="I122" s="64" t="s">
        <v>1342</v>
      </c>
    </row>
    <row r="123" spans="1:9">
      <c r="A123" s="55" t="s">
        <v>1343</v>
      </c>
      <c r="B123" s="55" t="s">
        <v>1344</v>
      </c>
      <c r="C123" t="s">
        <v>1125</v>
      </c>
      <c r="G123" s="62">
        <v>3392926</v>
      </c>
      <c r="H123" s="63" t="s">
        <v>1341</v>
      </c>
      <c r="I123" s="64" t="s">
        <v>1342</v>
      </c>
    </row>
    <row r="124" spans="1:9">
      <c r="A124" s="55" t="s">
        <v>1345</v>
      </c>
      <c r="B124" s="55" t="s">
        <v>1346</v>
      </c>
      <c r="C124" t="s">
        <v>1125</v>
      </c>
      <c r="G124" s="62">
        <v>3392927</v>
      </c>
      <c r="H124" s="63" t="s">
        <v>1341</v>
      </c>
      <c r="I124" s="64" t="s">
        <v>1342</v>
      </c>
    </row>
    <row r="125" spans="1:9">
      <c r="A125" s="55" t="s">
        <v>1347</v>
      </c>
      <c r="B125" s="55" t="s">
        <v>1348</v>
      </c>
      <c r="G125" s="62">
        <v>3392928</v>
      </c>
      <c r="H125" s="63" t="s">
        <v>1341</v>
      </c>
      <c r="I125" s="64" t="s">
        <v>1349</v>
      </c>
    </row>
    <row r="126" spans="1:9">
      <c r="A126" s="55" t="s">
        <v>1350</v>
      </c>
      <c r="B126" s="55" t="s">
        <v>1351</v>
      </c>
      <c r="G126" s="62">
        <v>3392929</v>
      </c>
      <c r="H126" s="63" t="s">
        <v>1341</v>
      </c>
      <c r="I126" s="64" t="s">
        <v>1342</v>
      </c>
    </row>
    <row r="127" spans="1:9">
      <c r="A127" s="55" t="s">
        <v>1352</v>
      </c>
      <c r="B127" s="55" t="s">
        <v>1353</v>
      </c>
      <c r="G127" s="62">
        <v>3392930</v>
      </c>
      <c r="H127" s="63" t="s">
        <v>1341</v>
      </c>
      <c r="I127" s="64" t="s">
        <v>1342</v>
      </c>
    </row>
    <row r="128" spans="1:9">
      <c r="A128" s="55" t="s">
        <v>1354</v>
      </c>
      <c r="B128" s="55" t="s">
        <v>1355</v>
      </c>
      <c r="G128" s="62">
        <v>3392931</v>
      </c>
      <c r="H128" s="63" t="s">
        <v>1341</v>
      </c>
      <c r="I128" s="64" t="s">
        <v>1342</v>
      </c>
    </row>
    <row r="129" spans="1:9">
      <c r="A129" s="55" t="s">
        <v>1356</v>
      </c>
      <c r="B129" s="55" t="s">
        <v>1357</v>
      </c>
      <c r="G129" s="62">
        <v>3392932</v>
      </c>
      <c r="H129" s="63" t="s">
        <v>1341</v>
      </c>
      <c r="I129" s="64" t="s">
        <v>1342</v>
      </c>
    </row>
    <row r="130" spans="1:9">
      <c r="A130" s="55" t="s">
        <v>1358</v>
      </c>
      <c r="B130" s="55" t="s">
        <v>1359</v>
      </c>
      <c r="G130" s="62">
        <v>3392933</v>
      </c>
      <c r="H130" s="63" t="s">
        <v>1341</v>
      </c>
      <c r="I130" s="64" t="s">
        <v>1342</v>
      </c>
    </row>
    <row r="131" spans="1:9">
      <c r="G131" s="62">
        <v>3392934</v>
      </c>
      <c r="H131" s="63" t="s">
        <v>1360</v>
      </c>
      <c r="I131" s="64" t="s">
        <v>1361</v>
      </c>
    </row>
    <row r="132" spans="1:9">
      <c r="G132" s="62">
        <v>3392935</v>
      </c>
      <c r="H132" s="63" t="s">
        <v>1360</v>
      </c>
      <c r="I132" s="64" t="s">
        <v>1361</v>
      </c>
    </row>
    <row r="133" spans="1:9">
      <c r="G133" s="62">
        <v>3392936</v>
      </c>
      <c r="H133" s="63" t="s">
        <v>1360</v>
      </c>
      <c r="I133" s="64" t="s">
        <v>1361</v>
      </c>
    </row>
    <row r="134" spans="1:9">
      <c r="G134" s="62">
        <v>3392937</v>
      </c>
      <c r="H134" s="63" t="s">
        <v>1360</v>
      </c>
      <c r="I134" s="64" t="s">
        <v>1361</v>
      </c>
    </row>
    <row r="135" spans="1:9">
      <c r="G135" s="62">
        <v>3392938</v>
      </c>
      <c r="H135" s="63" t="s">
        <v>1360</v>
      </c>
      <c r="I135" s="64" t="s">
        <v>1361</v>
      </c>
    </row>
    <row r="136" spans="1:9">
      <c r="G136" s="62">
        <v>3392939</v>
      </c>
      <c r="H136" s="63" t="s">
        <v>1360</v>
      </c>
      <c r="I136" s="64" t="s">
        <v>1361</v>
      </c>
    </row>
    <row r="137" spans="1:9">
      <c r="G137" s="62">
        <v>3392940</v>
      </c>
      <c r="H137" s="63" t="s">
        <v>1360</v>
      </c>
      <c r="I137" s="64" t="s">
        <v>1361</v>
      </c>
    </row>
    <row r="138" spans="1:9">
      <c r="G138" s="62">
        <v>3392941</v>
      </c>
      <c r="H138" s="63" t="s">
        <v>1360</v>
      </c>
      <c r="I138" s="64" t="s">
        <v>1361</v>
      </c>
    </row>
    <row r="139" spans="1:9">
      <c r="G139" s="62">
        <v>3392942</v>
      </c>
      <c r="H139" s="63" t="s">
        <v>1360</v>
      </c>
      <c r="I139" s="64" t="s">
        <v>1361</v>
      </c>
    </row>
    <row r="140" spans="1:9">
      <c r="G140" s="62">
        <v>3392943</v>
      </c>
      <c r="H140" s="63" t="s">
        <v>1360</v>
      </c>
      <c r="I140" s="64" t="s">
        <v>1361</v>
      </c>
    </row>
    <row r="141" spans="1:9">
      <c r="G141" s="62">
        <v>3392944</v>
      </c>
      <c r="H141" s="63" t="s">
        <v>1360</v>
      </c>
      <c r="I141" s="64" t="s">
        <v>1349</v>
      </c>
    </row>
    <row r="142" spans="1:9">
      <c r="G142" s="62">
        <v>3392945</v>
      </c>
      <c r="H142" s="63" t="s">
        <v>1362</v>
      </c>
      <c r="I142" s="64" t="s">
        <v>1342</v>
      </c>
    </row>
    <row r="143" spans="1:9">
      <c r="G143" s="62">
        <v>3392946</v>
      </c>
      <c r="H143" s="63" t="s">
        <v>1362</v>
      </c>
      <c r="I143" s="64" t="s">
        <v>1349</v>
      </c>
    </row>
    <row r="144" spans="1:9">
      <c r="G144" s="62">
        <v>3392947</v>
      </c>
      <c r="H144" s="63" t="s">
        <v>1362</v>
      </c>
      <c r="I144" s="64" t="s">
        <v>1349</v>
      </c>
    </row>
    <row r="145" spans="7:9">
      <c r="G145" s="62">
        <v>3392948</v>
      </c>
      <c r="H145" s="63" t="s">
        <v>1362</v>
      </c>
      <c r="I145" s="64" t="s">
        <v>1349</v>
      </c>
    </row>
    <row r="146" spans="7:9">
      <c r="G146" s="62">
        <v>3392950</v>
      </c>
      <c r="H146" s="63" t="s">
        <v>1362</v>
      </c>
      <c r="I146" s="64" t="s">
        <v>1349</v>
      </c>
    </row>
    <row r="147" spans="7:9">
      <c r="G147" s="62">
        <v>3392951</v>
      </c>
      <c r="H147" s="63" t="s">
        <v>1362</v>
      </c>
      <c r="I147" s="64" t="s">
        <v>1361</v>
      </c>
    </row>
    <row r="148" spans="7:9">
      <c r="G148" s="62">
        <v>3392952</v>
      </c>
      <c r="H148" s="63" t="s">
        <v>1362</v>
      </c>
      <c r="I148" s="64" t="s">
        <v>1349</v>
      </c>
    </row>
    <row r="149" spans="7:9">
      <c r="G149" s="62">
        <v>3392953</v>
      </c>
      <c r="H149" s="63" t="s">
        <v>1362</v>
      </c>
      <c r="I149" s="64" t="s">
        <v>1349</v>
      </c>
    </row>
    <row r="150" spans="7:9">
      <c r="G150" s="62">
        <v>3392955</v>
      </c>
      <c r="H150" s="63" t="s">
        <v>1362</v>
      </c>
      <c r="I150" s="64" t="s">
        <v>1349</v>
      </c>
    </row>
    <row r="151" spans="7:9">
      <c r="G151" s="62">
        <v>3392956</v>
      </c>
      <c r="H151" s="63" t="s">
        <v>1362</v>
      </c>
      <c r="I151" s="64" t="s">
        <v>1349</v>
      </c>
    </row>
    <row r="152" spans="7:9">
      <c r="G152" s="62">
        <v>3392957</v>
      </c>
      <c r="H152" s="63" t="s">
        <v>1362</v>
      </c>
      <c r="I152" s="64" t="s">
        <v>1349</v>
      </c>
    </row>
    <row r="153" spans="7:9">
      <c r="G153" s="62">
        <v>3392958</v>
      </c>
      <c r="H153" s="63" t="s">
        <v>1362</v>
      </c>
      <c r="I153" s="64" t="s">
        <v>1349</v>
      </c>
    </row>
    <row r="154" spans="7:9">
      <c r="G154" s="62">
        <v>3392959</v>
      </c>
      <c r="H154" s="63" t="s">
        <v>1362</v>
      </c>
      <c r="I154" s="64" t="s">
        <v>1349</v>
      </c>
    </row>
    <row r="155" spans="7:9">
      <c r="G155" s="62">
        <v>3392960</v>
      </c>
      <c r="H155" s="63" t="s">
        <v>1363</v>
      </c>
      <c r="I155" s="64" t="s">
        <v>1364</v>
      </c>
    </row>
    <row r="156" spans="7:9">
      <c r="G156" s="62">
        <v>3392961</v>
      </c>
      <c r="H156" s="63" t="s">
        <v>1363</v>
      </c>
      <c r="I156" s="64" t="s">
        <v>1364</v>
      </c>
    </row>
    <row r="157" spans="7:9">
      <c r="G157" s="62">
        <v>3392962</v>
      </c>
      <c r="H157" s="63" t="s">
        <v>1363</v>
      </c>
      <c r="I157" s="64" t="s">
        <v>1364</v>
      </c>
    </row>
    <row r="158" spans="7:9">
      <c r="G158" s="62">
        <v>3392963</v>
      </c>
      <c r="H158" s="63" t="s">
        <v>1363</v>
      </c>
      <c r="I158" s="64" t="s">
        <v>1364</v>
      </c>
    </row>
    <row r="159" spans="7:9">
      <c r="G159" s="62">
        <v>3392964</v>
      </c>
      <c r="H159" s="63" t="s">
        <v>1363</v>
      </c>
      <c r="I159" s="64" t="s">
        <v>1364</v>
      </c>
    </row>
    <row r="160" spans="7:9">
      <c r="G160" s="62">
        <v>3392965</v>
      </c>
      <c r="H160" s="63" t="s">
        <v>1363</v>
      </c>
      <c r="I160" s="64" t="s">
        <v>1365</v>
      </c>
    </row>
    <row r="161" spans="7:9">
      <c r="G161" s="62">
        <v>3392966</v>
      </c>
      <c r="H161" s="63" t="s">
        <v>1363</v>
      </c>
      <c r="I161" s="64" t="s">
        <v>1364</v>
      </c>
    </row>
    <row r="162" spans="7:9">
      <c r="G162" s="62">
        <v>3392967</v>
      </c>
      <c r="H162" s="63" t="s">
        <v>1363</v>
      </c>
      <c r="I162" s="64" t="s">
        <v>1364</v>
      </c>
    </row>
    <row r="163" spans="7:9">
      <c r="G163" s="62">
        <v>3392968</v>
      </c>
      <c r="H163" s="63" t="s">
        <v>1363</v>
      </c>
      <c r="I163" s="64" t="s">
        <v>1364</v>
      </c>
    </row>
    <row r="164" spans="7:9">
      <c r="G164" s="62">
        <v>3392970</v>
      </c>
      <c r="H164" s="63" t="s">
        <v>1366</v>
      </c>
      <c r="I164" s="64" t="s">
        <v>1228</v>
      </c>
    </row>
    <row r="165" spans="7:9">
      <c r="G165" s="62">
        <v>3392971</v>
      </c>
      <c r="H165" s="63" t="s">
        <v>1366</v>
      </c>
      <c r="I165" s="64" t="s">
        <v>1228</v>
      </c>
    </row>
    <row r="166" spans="7:9">
      <c r="G166" s="62">
        <v>3392972</v>
      </c>
      <c r="H166" s="63" t="s">
        <v>1366</v>
      </c>
      <c r="I166" s="64" t="s">
        <v>1228</v>
      </c>
    </row>
    <row r="167" spans="7:9">
      <c r="G167" s="62">
        <v>3392973</v>
      </c>
      <c r="H167" s="63" t="s">
        <v>1366</v>
      </c>
      <c r="I167" s="64" t="s">
        <v>1228</v>
      </c>
    </row>
    <row r="168" spans="7:9">
      <c r="G168" s="62">
        <v>3392974</v>
      </c>
      <c r="H168" s="63" t="s">
        <v>1367</v>
      </c>
      <c r="I168" s="64" t="s">
        <v>1368</v>
      </c>
    </row>
    <row r="169" spans="7:9">
      <c r="G169" s="62">
        <v>3392975</v>
      </c>
      <c r="H169" s="63" t="s">
        <v>1367</v>
      </c>
      <c r="I169" s="64" t="s">
        <v>1368</v>
      </c>
    </row>
    <row r="170" spans="7:9">
      <c r="G170" s="62">
        <v>3392976</v>
      </c>
      <c r="H170" s="63" t="s">
        <v>1369</v>
      </c>
      <c r="I170" s="64" t="s">
        <v>1370</v>
      </c>
    </row>
    <row r="171" spans="7:9">
      <c r="G171" s="62">
        <v>3392977</v>
      </c>
      <c r="H171" s="63" t="s">
        <v>1371</v>
      </c>
      <c r="I171" s="64" t="s">
        <v>1370</v>
      </c>
    </row>
    <row r="172" spans="7:9">
      <c r="G172" s="62">
        <v>3392978</v>
      </c>
      <c r="H172" s="63" t="s">
        <v>1371</v>
      </c>
      <c r="I172" s="64" t="s">
        <v>1370</v>
      </c>
    </row>
    <row r="173" spans="7:9">
      <c r="G173" s="62">
        <v>3392979</v>
      </c>
      <c r="H173" s="63" t="s">
        <v>1371</v>
      </c>
      <c r="I173" s="64" t="s">
        <v>1370</v>
      </c>
    </row>
    <row r="174" spans="7:9">
      <c r="G174" s="62">
        <v>3392980</v>
      </c>
      <c r="H174" s="63" t="s">
        <v>1372</v>
      </c>
      <c r="I174" s="64" t="s">
        <v>1236</v>
      </c>
    </row>
    <row r="175" spans="7:9">
      <c r="G175" s="62">
        <v>3392981</v>
      </c>
      <c r="H175" s="63" t="s">
        <v>1372</v>
      </c>
      <c r="I175" s="64" t="s">
        <v>1236</v>
      </c>
    </row>
    <row r="176" spans="7:9">
      <c r="G176" s="62">
        <v>3392982</v>
      </c>
      <c r="H176" s="63" t="s">
        <v>1372</v>
      </c>
      <c r="I176" s="64" t="s">
        <v>1236</v>
      </c>
    </row>
    <row r="177" spans="7:9">
      <c r="G177" s="62">
        <v>3392983</v>
      </c>
      <c r="H177" s="63" t="s">
        <v>1372</v>
      </c>
      <c r="I177" s="64" t="s">
        <v>1236</v>
      </c>
    </row>
    <row r="178" spans="7:9">
      <c r="G178" s="62">
        <v>3392984</v>
      </c>
      <c r="H178" s="63" t="s">
        <v>1372</v>
      </c>
      <c r="I178" s="64" t="s">
        <v>1236</v>
      </c>
    </row>
    <row r="179" spans="7:9">
      <c r="G179" s="62">
        <v>3392985</v>
      </c>
      <c r="H179" s="63" t="s">
        <v>1372</v>
      </c>
      <c r="I179" s="64" t="s">
        <v>1236</v>
      </c>
    </row>
    <row r="180" spans="7:9">
      <c r="G180" s="62">
        <v>3392986</v>
      </c>
      <c r="H180" s="63" t="s">
        <v>1372</v>
      </c>
      <c r="I180" s="64" t="s">
        <v>1236</v>
      </c>
    </row>
    <row r="181" spans="7:9">
      <c r="G181" s="62">
        <v>3392987</v>
      </c>
      <c r="H181" s="63" t="s">
        <v>1372</v>
      </c>
      <c r="I181" s="64" t="s">
        <v>1236</v>
      </c>
    </row>
    <row r="182" spans="7:9">
      <c r="G182" s="62">
        <v>3392988</v>
      </c>
      <c r="H182" s="63" t="s">
        <v>1372</v>
      </c>
      <c r="I182" s="64" t="s">
        <v>1370</v>
      </c>
    </row>
    <row r="183" spans="7:9">
      <c r="G183" s="62">
        <v>3392989</v>
      </c>
      <c r="H183" s="63" t="s">
        <v>1372</v>
      </c>
      <c r="I183" s="64" t="s">
        <v>1236</v>
      </c>
    </row>
    <row r="184" spans="7:9">
      <c r="G184" s="62">
        <v>3392990</v>
      </c>
      <c r="H184" s="63" t="s">
        <v>1372</v>
      </c>
      <c r="I184" s="64" t="s">
        <v>1365</v>
      </c>
    </row>
    <row r="185" spans="7:9">
      <c r="G185" s="62">
        <v>3392991</v>
      </c>
      <c r="H185" s="63" t="s">
        <v>1372</v>
      </c>
      <c r="I185" s="64" t="s">
        <v>1236</v>
      </c>
    </row>
    <row r="186" spans="7:9">
      <c r="G186" s="62">
        <v>3392992</v>
      </c>
      <c r="H186" s="63" t="s">
        <v>1372</v>
      </c>
      <c r="I186" s="64" t="s">
        <v>1236</v>
      </c>
    </row>
    <row r="187" spans="7:9">
      <c r="G187" s="62">
        <v>3392993</v>
      </c>
      <c r="H187" s="63" t="s">
        <v>1372</v>
      </c>
      <c r="I187" s="64" t="s">
        <v>1236</v>
      </c>
    </row>
    <row r="188" spans="7:9">
      <c r="G188" s="62">
        <v>3392994</v>
      </c>
      <c r="H188" s="63" t="s">
        <v>1372</v>
      </c>
      <c r="I188" s="64" t="s">
        <v>1236</v>
      </c>
    </row>
    <row r="189" spans="7:9">
      <c r="G189" s="62">
        <v>3392995</v>
      </c>
      <c r="H189" s="63" t="s">
        <v>1372</v>
      </c>
      <c r="I189" s="64" t="s">
        <v>1236</v>
      </c>
    </row>
    <row r="190" spans="7:9">
      <c r="G190" s="62">
        <v>3392996</v>
      </c>
      <c r="H190" s="63" t="s">
        <v>1372</v>
      </c>
      <c r="I190" s="64" t="s">
        <v>1236</v>
      </c>
    </row>
    <row r="191" spans="7:9">
      <c r="G191" s="62">
        <v>3392997</v>
      </c>
      <c r="H191" s="63" t="s">
        <v>1372</v>
      </c>
      <c r="I191" s="64" t="s">
        <v>1236</v>
      </c>
    </row>
    <row r="192" spans="7:9">
      <c r="G192" s="62">
        <v>3392998</v>
      </c>
      <c r="H192" s="63" t="s">
        <v>1373</v>
      </c>
      <c r="I192" s="64" t="s">
        <v>1374</v>
      </c>
    </row>
    <row r="193" spans="7:9">
      <c r="G193" s="62">
        <v>3392999</v>
      </c>
      <c r="H193" s="63" t="s">
        <v>1373</v>
      </c>
      <c r="I193" s="64" t="s">
        <v>1374</v>
      </c>
    </row>
    <row r="194" spans="7:9">
      <c r="G194" s="62">
        <v>3393000</v>
      </c>
      <c r="H194" s="63" t="s">
        <v>1373</v>
      </c>
      <c r="I194" s="64" t="s">
        <v>1374</v>
      </c>
    </row>
    <row r="195" spans="7:9">
      <c r="G195" s="62">
        <v>3393001</v>
      </c>
      <c r="H195" s="63" t="s">
        <v>1373</v>
      </c>
      <c r="I195" s="64" t="s">
        <v>1374</v>
      </c>
    </row>
    <row r="196" spans="7:9">
      <c r="G196" s="62">
        <v>3393002</v>
      </c>
      <c r="H196" s="63" t="s">
        <v>1373</v>
      </c>
      <c r="I196" s="64" t="s">
        <v>1374</v>
      </c>
    </row>
    <row r="197" spans="7:9">
      <c r="G197" s="62">
        <v>3393003</v>
      </c>
      <c r="H197" s="63" t="s">
        <v>1375</v>
      </c>
      <c r="I197" s="64" t="s">
        <v>1376</v>
      </c>
    </row>
    <row r="198" spans="7:9">
      <c r="G198" s="62">
        <v>3393004</v>
      </c>
      <c r="H198" s="63" t="s">
        <v>1375</v>
      </c>
      <c r="I198" s="64" t="s">
        <v>1376</v>
      </c>
    </row>
    <row r="199" spans="7:9">
      <c r="G199" s="62">
        <v>3393005</v>
      </c>
      <c r="H199" s="63" t="s">
        <v>1375</v>
      </c>
      <c r="I199" s="64" t="s">
        <v>1376</v>
      </c>
    </row>
    <row r="200" spans="7:9">
      <c r="G200" s="62">
        <v>3393006</v>
      </c>
      <c r="H200" s="63" t="s">
        <v>1375</v>
      </c>
      <c r="I200" s="64" t="s">
        <v>1376</v>
      </c>
    </row>
    <row r="201" spans="7:9">
      <c r="G201" s="62">
        <v>3393007</v>
      </c>
      <c r="H201" s="63" t="s">
        <v>1375</v>
      </c>
      <c r="I201" s="64" t="s">
        <v>1376</v>
      </c>
    </row>
    <row r="202" spans="7:9">
      <c r="G202" s="62">
        <v>3393008</v>
      </c>
      <c r="H202" s="63" t="s">
        <v>1375</v>
      </c>
      <c r="I202" s="64" t="s">
        <v>1376</v>
      </c>
    </row>
    <row r="203" spans="7:9">
      <c r="G203" s="62">
        <v>3393009</v>
      </c>
      <c r="H203" s="63" t="s">
        <v>1375</v>
      </c>
      <c r="I203" s="64" t="s">
        <v>1377</v>
      </c>
    </row>
    <row r="204" spans="7:9">
      <c r="G204" s="62">
        <v>3393010</v>
      </c>
      <c r="H204" s="63" t="s">
        <v>1378</v>
      </c>
      <c r="I204" s="64" t="s">
        <v>1379</v>
      </c>
    </row>
    <row r="205" spans="7:9">
      <c r="G205" s="62">
        <v>3393011</v>
      </c>
      <c r="H205" s="63" t="s">
        <v>1378</v>
      </c>
      <c r="I205" s="64" t="s">
        <v>1379</v>
      </c>
    </row>
    <row r="206" spans="7:9">
      <c r="G206" s="62">
        <v>3393012</v>
      </c>
      <c r="H206" s="63" t="s">
        <v>1378</v>
      </c>
      <c r="I206" s="64" t="s">
        <v>1379</v>
      </c>
    </row>
    <row r="207" spans="7:9">
      <c r="G207" s="62">
        <v>3393013</v>
      </c>
      <c r="H207" s="63" t="s">
        <v>1378</v>
      </c>
      <c r="I207" s="64" t="s">
        <v>1222</v>
      </c>
    </row>
    <row r="208" spans="7:9">
      <c r="G208" s="62">
        <v>3393014</v>
      </c>
      <c r="H208" s="63" t="s">
        <v>1378</v>
      </c>
      <c r="I208" s="64" t="s">
        <v>1379</v>
      </c>
    </row>
    <row r="209" spans="7:9">
      <c r="G209" s="62">
        <v>3393015</v>
      </c>
      <c r="H209" s="63" t="s">
        <v>1378</v>
      </c>
      <c r="I209" s="64" t="s">
        <v>1379</v>
      </c>
    </row>
    <row r="210" spans="7:9">
      <c r="G210" s="62">
        <v>3393016</v>
      </c>
      <c r="H210" s="63" t="s">
        <v>1378</v>
      </c>
      <c r="I210" s="64" t="s">
        <v>1379</v>
      </c>
    </row>
    <row r="211" spans="7:9">
      <c r="G211" s="62">
        <v>3393017</v>
      </c>
      <c r="H211" s="63" t="s">
        <v>1378</v>
      </c>
      <c r="I211" s="64" t="s">
        <v>1379</v>
      </c>
    </row>
    <row r="212" spans="7:9">
      <c r="G212" s="62">
        <v>3393018</v>
      </c>
      <c r="H212" s="63" t="s">
        <v>1378</v>
      </c>
      <c r="I212" s="64" t="s">
        <v>1222</v>
      </c>
    </row>
    <row r="213" spans="7:9">
      <c r="G213" s="62">
        <v>3393019</v>
      </c>
      <c r="H213" s="63" t="s">
        <v>1380</v>
      </c>
      <c r="I213" s="64" t="s">
        <v>1381</v>
      </c>
    </row>
    <row r="214" spans="7:9">
      <c r="G214" s="62">
        <v>3393020</v>
      </c>
      <c r="H214" s="63" t="s">
        <v>1380</v>
      </c>
      <c r="I214" s="64" t="s">
        <v>1381</v>
      </c>
    </row>
    <row r="215" spans="7:9">
      <c r="G215" s="62">
        <v>3393021</v>
      </c>
      <c r="H215" s="63" t="s">
        <v>1380</v>
      </c>
      <c r="I215" s="64" t="s">
        <v>1381</v>
      </c>
    </row>
    <row r="216" spans="7:9">
      <c r="G216" s="62">
        <v>3393022</v>
      </c>
      <c r="H216" s="63" t="s">
        <v>1380</v>
      </c>
      <c r="I216" s="64" t="s">
        <v>1381</v>
      </c>
    </row>
    <row r="217" spans="7:9">
      <c r="G217" s="62">
        <v>3393024</v>
      </c>
      <c r="H217" s="63" t="s">
        <v>1382</v>
      </c>
      <c r="I217" s="64" t="s">
        <v>1370</v>
      </c>
    </row>
    <row r="218" spans="7:9">
      <c r="G218" s="62">
        <v>3393025</v>
      </c>
      <c r="H218" s="63" t="s">
        <v>1382</v>
      </c>
      <c r="I218" s="64" t="s">
        <v>1370</v>
      </c>
    </row>
    <row r="219" spans="7:9">
      <c r="G219" s="62">
        <v>3393026</v>
      </c>
      <c r="H219" s="63" t="s">
        <v>1382</v>
      </c>
      <c r="I219" s="64" t="s">
        <v>1370</v>
      </c>
    </row>
    <row r="220" spans="7:9">
      <c r="G220" s="62">
        <v>3393027</v>
      </c>
      <c r="H220" s="63" t="s">
        <v>1382</v>
      </c>
      <c r="I220" s="64" t="s">
        <v>1370</v>
      </c>
    </row>
    <row r="221" spans="7:9">
      <c r="G221" s="62">
        <v>3393028</v>
      </c>
      <c r="H221" s="63" t="s">
        <v>1382</v>
      </c>
      <c r="I221" s="64" t="s">
        <v>1370</v>
      </c>
    </row>
    <row r="222" spans="7:9">
      <c r="G222" s="62">
        <v>3393029</v>
      </c>
      <c r="H222" s="63" t="s">
        <v>1382</v>
      </c>
      <c r="I222" s="64" t="s">
        <v>1370</v>
      </c>
    </row>
    <row r="223" spans="7:9">
      <c r="G223" s="62">
        <v>3393030</v>
      </c>
      <c r="H223" s="63" t="s">
        <v>1382</v>
      </c>
      <c r="I223" s="64" t="s">
        <v>1370</v>
      </c>
    </row>
    <row r="224" spans="7:9">
      <c r="G224" s="62">
        <v>3393031</v>
      </c>
      <c r="H224" s="63" t="s">
        <v>1382</v>
      </c>
      <c r="I224" s="64" t="s">
        <v>1370</v>
      </c>
    </row>
    <row r="225" spans="7:9">
      <c r="G225" s="62">
        <v>3393033</v>
      </c>
      <c r="H225" s="63" t="s">
        <v>1382</v>
      </c>
      <c r="I225" s="64" t="s">
        <v>1222</v>
      </c>
    </row>
    <row r="226" spans="7:9">
      <c r="G226" s="62">
        <v>3393034</v>
      </c>
      <c r="H226" s="63" t="s">
        <v>1269</v>
      </c>
      <c r="I226" s="64" t="s">
        <v>1262</v>
      </c>
    </row>
    <row r="227" spans="7:9">
      <c r="G227" s="62">
        <v>3393035</v>
      </c>
      <c r="H227" s="63" t="s">
        <v>1269</v>
      </c>
      <c r="I227" s="64" t="s">
        <v>1264</v>
      </c>
    </row>
    <row r="228" spans="7:9">
      <c r="G228" s="62">
        <v>3393036</v>
      </c>
      <c r="H228" s="63" t="s">
        <v>1269</v>
      </c>
      <c r="I228" s="64" t="s">
        <v>1338</v>
      </c>
    </row>
    <row r="229" spans="7:9">
      <c r="G229" s="62">
        <v>3393037</v>
      </c>
      <c r="H229" s="63" t="s">
        <v>1269</v>
      </c>
      <c r="I229" s="64" t="s">
        <v>1262</v>
      </c>
    </row>
    <row r="230" spans="7:9">
      <c r="G230" s="62">
        <v>3393038</v>
      </c>
      <c r="H230" s="63" t="s">
        <v>1269</v>
      </c>
      <c r="I230" s="64" t="s">
        <v>1264</v>
      </c>
    </row>
    <row r="231" spans="7:9">
      <c r="G231" s="62">
        <v>3393039</v>
      </c>
      <c r="H231" s="63" t="s">
        <v>1269</v>
      </c>
      <c r="I231" s="64" t="s">
        <v>1338</v>
      </c>
    </row>
    <row r="232" spans="7:9">
      <c r="G232" s="62">
        <v>3393040</v>
      </c>
      <c r="H232" s="63" t="s">
        <v>1383</v>
      </c>
      <c r="I232" s="64" t="s">
        <v>1384</v>
      </c>
    </row>
    <row r="233" spans="7:9">
      <c r="G233" s="62">
        <v>3393041</v>
      </c>
      <c r="H233" s="63" t="s">
        <v>1383</v>
      </c>
      <c r="I233" s="64" t="s">
        <v>1379</v>
      </c>
    </row>
    <row r="234" spans="7:9">
      <c r="G234" s="62">
        <v>3393042</v>
      </c>
      <c r="H234" s="63" t="s">
        <v>1383</v>
      </c>
      <c r="I234" s="64" t="s">
        <v>1384</v>
      </c>
    </row>
    <row r="235" spans="7:9">
      <c r="G235" s="62">
        <v>3393043</v>
      </c>
      <c r="H235" s="63" t="s">
        <v>1383</v>
      </c>
      <c r="I235" s="64" t="s">
        <v>1384</v>
      </c>
    </row>
    <row r="236" spans="7:9">
      <c r="G236" s="62">
        <v>3393044</v>
      </c>
      <c r="H236" s="63" t="s">
        <v>1383</v>
      </c>
      <c r="I236" s="64" t="s">
        <v>1222</v>
      </c>
    </row>
    <row r="237" spans="7:9">
      <c r="G237" s="62">
        <v>3393045</v>
      </c>
      <c r="H237" s="63" t="s">
        <v>1385</v>
      </c>
      <c r="I237" s="64" t="s">
        <v>1291</v>
      </c>
    </row>
    <row r="238" spans="7:9">
      <c r="G238" s="62">
        <v>3393046</v>
      </c>
      <c r="H238" s="63" t="s">
        <v>1385</v>
      </c>
      <c r="I238" s="64" t="s">
        <v>1291</v>
      </c>
    </row>
    <row r="239" spans="7:9">
      <c r="G239" s="62">
        <v>3393047</v>
      </c>
      <c r="H239" s="63" t="s">
        <v>1385</v>
      </c>
      <c r="I239" s="64" t="s">
        <v>1291</v>
      </c>
    </row>
    <row r="240" spans="7:9">
      <c r="G240" s="62">
        <v>3393048</v>
      </c>
      <c r="H240" s="63" t="s">
        <v>1385</v>
      </c>
      <c r="I240" s="64" t="s">
        <v>1291</v>
      </c>
    </row>
    <row r="241" spans="7:9">
      <c r="G241" s="62">
        <v>3393049</v>
      </c>
      <c r="H241" s="63" t="s">
        <v>1385</v>
      </c>
      <c r="I241" s="64" t="s">
        <v>1222</v>
      </c>
    </row>
    <row r="242" spans="7:9">
      <c r="G242" s="62">
        <v>3393050</v>
      </c>
      <c r="H242" s="63" t="s">
        <v>1386</v>
      </c>
      <c r="I242" s="64" t="s">
        <v>1387</v>
      </c>
    </row>
    <row r="243" spans="7:9">
      <c r="G243" s="62">
        <v>3393051</v>
      </c>
      <c r="H243" s="63" t="s">
        <v>1386</v>
      </c>
      <c r="I243" s="64" t="s">
        <v>1387</v>
      </c>
    </row>
    <row r="244" spans="7:9">
      <c r="G244" s="62">
        <v>3393052</v>
      </c>
      <c r="H244" s="63" t="s">
        <v>1386</v>
      </c>
      <c r="I244" s="64" t="s">
        <v>1387</v>
      </c>
    </row>
    <row r="245" spans="7:9">
      <c r="G245" s="62">
        <v>3393053</v>
      </c>
      <c r="H245" s="63" t="s">
        <v>1386</v>
      </c>
      <c r="I245" s="64" t="s">
        <v>1387</v>
      </c>
    </row>
    <row r="246" spans="7:9">
      <c r="G246" s="62">
        <v>3393054</v>
      </c>
      <c r="H246" s="63" t="s">
        <v>1388</v>
      </c>
      <c r="I246" s="64" t="s">
        <v>1370</v>
      </c>
    </row>
    <row r="247" spans="7:9">
      <c r="G247" s="62">
        <v>3393055</v>
      </c>
      <c r="H247" s="63" t="s">
        <v>1388</v>
      </c>
      <c r="I247" s="65" t="s">
        <v>1376</v>
      </c>
    </row>
    <row r="248" spans="7:9">
      <c r="G248" s="62">
        <v>3393056</v>
      </c>
      <c r="H248" s="63" t="s">
        <v>1388</v>
      </c>
      <c r="I248" s="64" t="s">
        <v>1370</v>
      </c>
    </row>
    <row r="249" spans="7:9">
      <c r="G249" s="62">
        <v>3393057</v>
      </c>
      <c r="H249" s="63" t="s">
        <v>1388</v>
      </c>
      <c r="I249" s="64" t="s">
        <v>1370</v>
      </c>
    </row>
    <row r="250" spans="7:9">
      <c r="G250" s="62">
        <v>3393058</v>
      </c>
      <c r="H250" s="63" t="s">
        <v>1386</v>
      </c>
      <c r="I250" s="64" t="e">
        <v>#N/A</v>
      </c>
    </row>
    <row r="251" spans="7:9">
      <c r="G251" s="62">
        <v>3393059</v>
      </c>
      <c r="H251" s="63" t="s">
        <v>1389</v>
      </c>
      <c r="I251" s="64" t="s">
        <v>1231</v>
      </c>
    </row>
    <row r="252" spans="7:9">
      <c r="G252" s="62">
        <v>3393060</v>
      </c>
      <c r="H252" s="63" t="s">
        <v>1230</v>
      </c>
      <c r="I252" s="64" t="s">
        <v>1231</v>
      </c>
    </row>
    <row r="253" spans="7:9">
      <c r="G253" s="62">
        <v>3393061</v>
      </c>
      <c r="H253" s="63" t="s">
        <v>1230</v>
      </c>
      <c r="I253" s="64" t="s">
        <v>1231</v>
      </c>
    </row>
    <row r="254" spans="7:9">
      <c r="G254" s="62">
        <v>3393062</v>
      </c>
      <c r="H254" s="63" t="s">
        <v>1230</v>
      </c>
      <c r="I254" s="64" t="s">
        <v>1231</v>
      </c>
    </row>
    <row r="255" spans="7:9">
      <c r="G255" s="62">
        <v>3393063</v>
      </c>
      <c r="H255" s="63" t="s">
        <v>1390</v>
      </c>
      <c r="I255" s="64" t="s">
        <v>1391</v>
      </c>
    </row>
    <row r="256" spans="7:9">
      <c r="G256" s="62">
        <v>3393064</v>
      </c>
      <c r="H256" s="63" t="s">
        <v>1230</v>
      </c>
      <c r="I256" s="64" t="s">
        <v>1231</v>
      </c>
    </row>
    <row r="257" spans="7:9">
      <c r="G257" s="62">
        <v>3393065</v>
      </c>
      <c r="H257" s="63" t="s">
        <v>1233</v>
      </c>
      <c r="I257" s="64" t="s">
        <v>1231</v>
      </c>
    </row>
    <row r="258" spans="7:9">
      <c r="G258" s="62">
        <v>3393066</v>
      </c>
      <c r="H258" s="63" t="s">
        <v>1230</v>
      </c>
      <c r="I258" s="64" t="s">
        <v>1231</v>
      </c>
    </row>
    <row r="259" spans="7:9">
      <c r="G259" s="62">
        <v>3393067</v>
      </c>
      <c r="H259" s="63" t="s">
        <v>1230</v>
      </c>
      <c r="I259" s="64" t="s">
        <v>1231</v>
      </c>
    </row>
    <row r="260" spans="7:9">
      <c r="G260" s="62">
        <v>3393068</v>
      </c>
      <c r="H260" s="63" t="s">
        <v>1230</v>
      </c>
      <c r="I260" s="64" t="s">
        <v>1231</v>
      </c>
    </row>
    <row r="261" spans="7:9">
      <c r="G261" s="62">
        <v>3393069</v>
      </c>
      <c r="H261" s="63" t="s">
        <v>1392</v>
      </c>
      <c r="I261" s="64" t="s">
        <v>1228</v>
      </c>
    </row>
    <row r="262" spans="7:9">
      <c r="G262" s="62">
        <v>3393070</v>
      </c>
      <c r="H262" s="63" t="s">
        <v>1392</v>
      </c>
      <c r="I262" s="64" t="s">
        <v>1228</v>
      </c>
    </row>
    <row r="263" spans="7:9">
      <c r="G263" s="62">
        <v>3393071</v>
      </c>
      <c r="H263" s="63" t="s">
        <v>1392</v>
      </c>
      <c r="I263" s="64" t="s">
        <v>1228</v>
      </c>
    </row>
    <row r="264" spans="7:9">
      <c r="G264" s="62">
        <v>3393072</v>
      </c>
      <c r="H264" s="63" t="s">
        <v>1392</v>
      </c>
      <c r="I264" s="64" t="s">
        <v>1228</v>
      </c>
    </row>
    <row r="265" spans="7:9">
      <c r="G265" s="62">
        <v>3393073</v>
      </c>
      <c r="H265" s="63" t="s">
        <v>1392</v>
      </c>
      <c r="I265" s="64" t="s">
        <v>1228</v>
      </c>
    </row>
    <row r="266" spans="7:9">
      <c r="G266" s="62">
        <v>3393074</v>
      </c>
      <c r="H266" s="63" t="s">
        <v>1392</v>
      </c>
      <c r="I266" s="64" t="s">
        <v>1228</v>
      </c>
    </row>
    <row r="267" spans="7:9">
      <c r="G267" s="62">
        <v>3393075</v>
      </c>
      <c r="H267" s="63" t="s">
        <v>1393</v>
      </c>
      <c r="I267" s="64" t="s">
        <v>1236</v>
      </c>
    </row>
    <row r="268" spans="7:9">
      <c r="G268" s="62">
        <v>3393076</v>
      </c>
      <c r="H268" s="63" t="s">
        <v>1393</v>
      </c>
      <c r="I268" s="64" t="s">
        <v>1236</v>
      </c>
    </row>
    <row r="269" spans="7:9">
      <c r="G269" s="62">
        <v>3393077</v>
      </c>
      <c r="H269" s="63" t="s">
        <v>1393</v>
      </c>
      <c r="I269" s="64" t="s">
        <v>1236</v>
      </c>
    </row>
    <row r="270" spans="7:9">
      <c r="G270" s="62">
        <v>3393078</v>
      </c>
      <c r="H270" s="63" t="s">
        <v>1393</v>
      </c>
      <c r="I270" s="64" t="s">
        <v>1236</v>
      </c>
    </row>
    <row r="271" spans="7:9">
      <c r="G271" s="62">
        <v>3393079</v>
      </c>
      <c r="H271" s="63" t="s">
        <v>1393</v>
      </c>
      <c r="I271" s="64" t="s">
        <v>1236</v>
      </c>
    </row>
    <row r="272" spans="7:9">
      <c r="G272" s="62">
        <v>3393080</v>
      </c>
      <c r="H272" s="63" t="s">
        <v>1393</v>
      </c>
      <c r="I272" s="64" t="s">
        <v>1236</v>
      </c>
    </row>
    <row r="273" spans="7:9">
      <c r="G273" s="62">
        <v>3393081</v>
      </c>
      <c r="H273" s="63" t="s">
        <v>1393</v>
      </c>
      <c r="I273" s="64" t="s">
        <v>1365</v>
      </c>
    </row>
    <row r="274" spans="7:9">
      <c r="G274" s="62">
        <v>3393082</v>
      </c>
      <c r="H274" s="63" t="s">
        <v>1394</v>
      </c>
      <c r="I274" s="64" t="s">
        <v>1368</v>
      </c>
    </row>
    <row r="275" spans="7:9">
      <c r="G275" s="62">
        <v>3393083</v>
      </c>
      <c r="H275" s="63" t="s">
        <v>1394</v>
      </c>
      <c r="I275" s="64" t="s">
        <v>1368</v>
      </c>
    </row>
    <row r="276" spans="7:9">
      <c r="G276" s="62">
        <v>3410842</v>
      </c>
      <c r="H276" s="63" t="s">
        <v>1395</v>
      </c>
      <c r="I276" s="64" t="s">
        <v>1231</v>
      </c>
    </row>
    <row r="277" spans="7:9">
      <c r="G277" s="62">
        <v>3410843</v>
      </c>
      <c r="H277" s="63" t="s">
        <v>1395</v>
      </c>
      <c r="I277" s="64" t="s">
        <v>1231</v>
      </c>
    </row>
    <row r="278" spans="7:9">
      <c r="G278" s="62">
        <v>3424801</v>
      </c>
      <c r="H278" s="63" t="s">
        <v>1395</v>
      </c>
      <c r="I278" s="64" t="s">
        <v>1231</v>
      </c>
    </row>
    <row r="279" spans="7:9">
      <c r="G279" s="62">
        <v>3424802</v>
      </c>
      <c r="H279" s="63" t="s">
        <v>1395</v>
      </c>
      <c r="I279" s="64" t="s">
        <v>1231</v>
      </c>
    </row>
    <row r="280" spans="7:9">
      <c r="G280" s="62">
        <v>3418961</v>
      </c>
      <c r="H280" s="63" t="s">
        <v>1395</v>
      </c>
      <c r="I280" s="64" t="s">
        <v>1231</v>
      </c>
    </row>
    <row r="281" spans="7:9">
      <c r="G281" s="62">
        <v>3424803</v>
      </c>
      <c r="H281" s="63" t="s">
        <v>1395</v>
      </c>
      <c r="I281" s="64" t="s">
        <v>1231</v>
      </c>
    </row>
    <row r="282" spans="7:9">
      <c r="G282" s="62">
        <v>3424804</v>
      </c>
      <c r="H282" s="63" t="s">
        <v>1396</v>
      </c>
      <c r="I282" s="64" t="e">
        <v>#N/A</v>
      </c>
    </row>
    <row r="283" spans="7:9">
      <c r="G283" s="62">
        <v>3424805</v>
      </c>
      <c r="H283" s="63" t="s">
        <v>1396</v>
      </c>
      <c r="I283" s="64" t="e">
        <v>#N/A</v>
      </c>
    </row>
    <row r="284" spans="7:9">
      <c r="G284" s="62">
        <v>3424806</v>
      </c>
      <c r="H284" s="63" t="s">
        <v>1396</v>
      </c>
      <c r="I284" s="64" t="e">
        <v>#N/A</v>
      </c>
    </row>
    <row r="285" spans="7:9">
      <c r="G285" s="62">
        <v>3424808</v>
      </c>
      <c r="H285" s="63" t="s">
        <v>1397</v>
      </c>
      <c r="I285" s="64" t="e">
        <v>#N/A</v>
      </c>
    </row>
    <row r="286" spans="7:9">
      <c r="G286" s="62">
        <v>3424809</v>
      </c>
      <c r="H286" s="63" t="s">
        <v>1397</v>
      </c>
      <c r="I286" s="64" t="e">
        <v>#N/A</v>
      </c>
    </row>
    <row r="287" spans="7:9">
      <c r="G287" s="62">
        <v>3424810</v>
      </c>
      <c r="H287" s="63" t="s">
        <v>1397</v>
      </c>
      <c r="I287" s="64" t="e">
        <v>#N/A</v>
      </c>
    </row>
    <row r="288" spans="7:9">
      <c r="G288" s="62">
        <v>3424811</v>
      </c>
      <c r="H288" s="63" t="s">
        <v>1397</v>
      </c>
      <c r="I288" s="64" t="e">
        <v>#N/A</v>
      </c>
    </row>
    <row r="289" spans="7:9">
      <c r="G289" s="62">
        <v>3424812</v>
      </c>
      <c r="H289" s="63" t="s">
        <v>1398</v>
      </c>
      <c r="I289" s="64" t="e">
        <v>#N/A</v>
      </c>
    </row>
    <row r="290" spans="7:9">
      <c r="G290" s="62">
        <v>3424813</v>
      </c>
      <c r="H290" s="63" t="s">
        <v>1398</v>
      </c>
      <c r="I290" s="64" t="e">
        <v>#N/A</v>
      </c>
    </row>
    <row r="291" spans="7:9">
      <c r="G291" s="62">
        <v>3424822</v>
      </c>
      <c r="H291" s="63" t="s">
        <v>1398</v>
      </c>
      <c r="I291" s="64" t="e">
        <v>#N/A</v>
      </c>
    </row>
    <row r="292" spans="7:9">
      <c r="G292" s="62">
        <v>3424816</v>
      </c>
      <c r="H292" s="63" t="s">
        <v>1398</v>
      </c>
      <c r="I292" s="64" t="e">
        <v>#N/A</v>
      </c>
    </row>
    <row r="293" spans="7:9">
      <c r="G293" s="62">
        <v>3424817</v>
      </c>
      <c r="H293" s="63" t="s">
        <v>1398</v>
      </c>
      <c r="I293" s="64" t="e">
        <v>#N/A</v>
      </c>
    </row>
    <row r="294" spans="7:9">
      <c r="G294" s="62">
        <v>3424818</v>
      </c>
      <c r="H294" s="63" t="s">
        <v>1398</v>
      </c>
      <c r="I294" s="64" t="e">
        <v>#N/A</v>
      </c>
    </row>
    <row r="295" spans="7:9">
      <c r="G295" s="62">
        <v>3424828</v>
      </c>
      <c r="H295" s="63" t="s">
        <v>1398</v>
      </c>
      <c r="I295" s="64" t="e">
        <v>#N/A</v>
      </c>
    </row>
    <row r="296" spans="7:9">
      <c r="G296" s="62">
        <v>3424829</v>
      </c>
      <c r="H296" s="63" t="s">
        <v>1398</v>
      </c>
      <c r="I296" s="64" t="e">
        <v>#N/A</v>
      </c>
    </row>
    <row r="297" spans="7:9">
      <c r="G297" s="62">
        <v>3424830</v>
      </c>
      <c r="H297" s="63" t="s">
        <v>1399</v>
      </c>
      <c r="I297" s="64" t="e">
        <v>#N/A</v>
      </c>
    </row>
    <row r="298" spans="7:9">
      <c r="G298" s="62">
        <v>3424831</v>
      </c>
      <c r="H298" s="63" t="s">
        <v>1399</v>
      </c>
      <c r="I298" s="64" t="e">
        <v>#N/A</v>
      </c>
    </row>
    <row r="299" spans="7:9">
      <c r="G299" s="62">
        <v>3424832</v>
      </c>
      <c r="H299" s="63" t="s">
        <v>1399</v>
      </c>
      <c r="I299" s="64" t="e">
        <v>#N/A</v>
      </c>
    </row>
    <row r="300" spans="7:9">
      <c r="G300" s="62">
        <v>3424834</v>
      </c>
      <c r="H300" s="63" t="s">
        <v>1400</v>
      </c>
      <c r="I300" s="64" t="e">
        <v>#N/A</v>
      </c>
    </row>
    <row r="301" spans="7:9">
      <c r="G301" s="62">
        <v>3424835</v>
      </c>
      <c r="H301" s="63" t="s">
        <v>1400</v>
      </c>
      <c r="I301" s="64" t="e">
        <v>#N/A</v>
      </c>
    </row>
    <row r="302" spans="7:9">
      <c r="G302" s="62">
        <v>3424836</v>
      </c>
      <c r="H302" s="63" t="s">
        <v>1400</v>
      </c>
      <c r="I302" s="64" t="e">
        <v>#N/A</v>
      </c>
    </row>
    <row r="303" spans="7:9">
      <c r="G303" s="62">
        <v>3414089</v>
      </c>
      <c r="H303" s="63" t="s">
        <v>1401</v>
      </c>
      <c r="I303" s="64" t="s">
        <v>1402</v>
      </c>
    </row>
    <row r="304" spans="7:9">
      <c r="G304" s="62">
        <v>3414090</v>
      </c>
      <c r="H304" s="63" t="s">
        <v>1401</v>
      </c>
      <c r="I304" s="64" t="s">
        <v>1402</v>
      </c>
    </row>
    <row r="305" spans="7:9">
      <c r="G305" s="62">
        <v>3414091</v>
      </c>
      <c r="H305" s="63" t="s">
        <v>1401</v>
      </c>
      <c r="I305" s="64" t="s">
        <v>1403</v>
      </c>
    </row>
    <row r="306" spans="7:9">
      <c r="G306" s="62">
        <v>3414092</v>
      </c>
      <c r="H306" s="63" t="s">
        <v>1404</v>
      </c>
      <c r="I306" s="64" t="s">
        <v>1403</v>
      </c>
    </row>
    <row r="307" spans="7:9">
      <c r="G307" s="62">
        <v>3414093</v>
      </c>
      <c r="H307" s="63" t="s">
        <v>1404</v>
      </c>
      <c r="I307" s="64" t="s">
        <v>1405</v>
      </c>
    </row>
    <row r="308" spans="7:9">
      <c r="G308" s="62">
        <v>3414094</v>
      </c>
      <c r="H308" s="63" t="s">
        <v>1404</v>
      </c>
      <c r="I308" s="64" t="s">
        <v>1405</v>
      </c>
    </row>
    <row r="309" spans="7:9">
      <c r="G309" s="62">
        <v>3414086</v>
      </c>
      <c r="H309" s="63" t="s">
        <v>1406</v>
      </c>
      <c r="I309" s="64" t="s">
        <v>1403</v>
      </c>
    </row>
    <row r="310" spans="7:9">
      <c r="G310" s="62">
        <v>3414087</v>
      </c>
      <c r="H310" s="63" t="s">
        <v>1406</v>
      </c>
      <c r="I310" s="64" t="s">
        <v>1405</v>
      </c>
    </row>
    <row r="311" spans="7:9">
      <c r="G311" s="62">
        <v>3414088</v>
      </c>
      <c r="H311" s="63" t="s">
        <v>1406</v>
      </c>
      <c r="I311" s="64" t="s">
        <v>1405</v>
      </c>
    </row>
    <row r="312" spans="7:9">
      <c r="G312" s="62">
        <v>3414083</v>
      </c>
      <c r="H312" s="63" t="s">
        <v>1407</v>
      </c>
      <c r="I312" s="64" t="s">
        <v>1405</v>
      </c>
    </row>
    <row r="313" spans="7:9">
      <c r="G313" s="62">
        <v>3414095</v>
      </c>
      <c r="H313" s="63" t="s">
        <v>1408</v>
      </c>
      <c r="I313" s="64" t="s">
        <v>1405</v>
      </c>
    </row>
    <row r="314" spans="7:9">
      <c r="G314" s="62">
        <v>3414096</v>
      </c>
      <c r="H314" s="63" t="s">
        <v>1408</v>
      </c>
      <c r="I314" s="64" t="s">
        <v>1405</v>
      </c>
    </row>
    <row r="315" spans="7:9">
      <c r="G315" s="62">
        <v>3414097</v>
      </c>
      <c r="H315" s="63" t="s">
        <v>1408</v>
      </c>
      <c r="I315" s="64" t="s">
        <v>1405</v>
      </c>
    </row>
    <row r="316" spans="7:9">
      <c r="G316" s="62">
        <v>3414078</v>
      </c>
      <c r="H316" s="63" t="s">
        <v>1409</v>
      </c>
      <c r="I316" s="64" t="s">
        <v>1410</v>
      </c>
    </row>
    <row r="317" spans="7:9">
      <c r="G317" s="62">
        <v>3414079</v>
      </c>
      <c r="H317" s="63" t="s">
        <v>1409</v>
      </c>
      <c r="I317" s="64" t="s">
        <v>1410</v>
      </c>
    </row>
    <row r="318" spans="7:9">
      <c r="G318" s="62">
        <v>3414080</v>
      </c>
      <c r="H318" s="63" t="s">
        <v>1409</v>
      </c>
      <c r="I318" s="64" t="s">
        <v>1410</v>
      </c>
    </row>
    <row r="319" spans="7:9">
      <c r="G319" s="62">
        <v>3414081</v>
      </c>
      <c r="H319" s="63" t="s">
        <v>1369</v>
      </c>
      <c r="I319" s="64" t="s">
        <v>1370</v>
      </c>
    </row>
    <row r="320" spans="7:9">
      <c r="G320" s="62">
        <v>3414082</v>
      </c>
      <c r="H320" s="63" t="s">
        <v>1369</v>
      </c>
      <c r="I320" s="64" t="s">
        <v>1370</v>
      </c>
    </row>
    <row r="321" spans="7:9">
      <c r="G321" s="62">
        <v>3408113</v>
      </c>
      <c r="H321" s="63" t="s">
        <v>1411</v>
      </c>
      <c r="I321" s="64" t="s">
        <v>1143</v>
      </c>
    </row>
    <row r="322" spans="7:9">
      <c r="G322" s="62">
        <v>3393253</v>
      </c>
      <c r="H322" s="63" t="s">
        <v>1412</v>
      </c>
      <c r="I322" s="64" t="s">
        <v>1228</v>
      </c>
    </row>
    <row r="323" spans="7:9">
      <c r="G323" s="62">
        <v>3418962</v>
      </c>
      <c r="H323" s="63" t="s">
        <v>1412</v>
      </c>
      <c r="I323" s="64" t="s">
        <v>1228</v>
      </c>
    </row>
    <row r="324" spans="7:9">
      <c r="G324" s="62">
        <v>3418963</v>
      </c>
      <c r="H324" s="63" t="s">
        <v>1375</v>
      </c>
      <c r="I324" s="64" t="s">
        <v>1376</v>
      </c>
    </row>
    <row r="325" spans="7:9">
      <c r="G325" s="62">
        <v>3418964</v>
      </c>
      <c r="H325" s="63" t="s">
        <v>1375</v>
      </c>
      <c r="I325" s="64" t="s">
        <v>1376</v>
      </c>
    </row>
    <row r="326" spans="7:9">
      <c r="G326" s="62">
        <v>3418965</v>
      </c>
      <c r="H326" s="63" t="s">
        <v>1375</v>
      </c>
      <c r="I326" s="64" t="s">
        <v>1376</v>
      </c>
    </row>
    <row r="327" spans="7:9">
      <c r="G327" s="62">
        <v>3418966</v>
      </c>
      <c r="H327" s="63" t="s">
        <v>1375</v>
      </c>
      <c r="I327" s="64" t="s">
        <v>1376</v>
      </c>
    </row>
    <row r="328" spans="7:9">
      <c r="G328" s="62">
        <v>3418967</v>
      </c>
      <c r="H328" s="63" t="s">
        <v>1375</v>
      </c>
      <c r="I328" s="64" t="s">
        <v>1376</v>
      </c>
    </row>
    <row r="329" spans="7:9">
      <c r="G329" s="62">
        <v>3418968</v>
      </c>
      <c r="H329" s="63" t="s">
        <v>1375</v>
      </c>
      <c r="I329" s="64" t="s">
        <v>1376</v>
      </c>
    </row>
    <row r="330" spans="7:9">
      <c r="G330" s="62">
        <v>3418969</v>
      </c>
      <c r="H330" s="63" t="s">
        <v>1375</v>
      </c>
      <c r="I330" s="64" t="s">
        <v>1376</v>
      </c>
    </row>
    <row r="331" spans="7:9">
      <c r="G331" s="62">
        <v>3418970</v>
      </c>
      <c r="H331" s="63" t="s">
        <v>1375</v>
      </c>
      <c r="I331" s="64" t="s">
        <v>1376</v>
      </c>
    </row>
    <row r="332" spans="7:9">
      <c r="G332" s="62">
        <v>3406965</v>
      </c>
      <c r="H332" s="63" t="s">
        <v>1413</v>
      </c>
      <c r="I332" s="64" t="s">
        <v>1364</v>
      </c>
    </row>
    <row r="333" spans="7:9">
      <c r="G333" s="62">
        <v>3406966</v>
      </c>
      <c r="H333" s="63" t="s">
        <v>1413</v>
      </c>
      <c r="I333" s="64" t="s">
        <v>1364</v>
      </c>
    </row>
    <row r="334" spans="7:9">
      <c r="G334" s="62">
        <v>3406967</v>
      </c>
      <c r="H334" s="63" t="s">
        <v>1413</v>
      </c>
      <c r="I334" s="64" t="s">
        <v>1364</v>
      </c>
    </row>
    <row r="335" spans="7:9">
      <c r="G335" s="62">
        <v>3406968</v>
      </c>
      <c r="H335" s="63" t="s">
        <v>1413</v>
      </c>
      <c r="I335" s="64" t="s">
        <v>1364</v>
      </c>
    </row>
    <row r="336" spans="7:9">
      <c r="G336" s="62">
        <v>3406969</v>
      </c>
      <c r="H336" s="63" t="s">
        <v>1414</v>
      </c>
      <c r="I336" s="64" t="s">
        <v>1364</v>
      </c>
    </row>
    <row r="337" spans="7:9">
      <c r="G337" s="62">
        <v>3406970</v>
      </c>
      <c r="H337" s="63" t="s">
        <v>1415</v>
      </c>
      <c r="I337" s="64" t="s">
        <v>1222</v>
      </c>
    </row>
    <row r="338" spans="7:9">
      <c r="G338" s="62">
        <v>3406971</v>
      </c>
      <c r="H338" s="63" t="s">
        <v>1416</v>
      </c>
      <c r="I338" s="64" t="s">
        <v>1417</v>
      </c>
    </row>
    <row r="339" spans="7:9">
      <c r="G339" s="62">
        <v>3406972</v>
      </c>
      <c r="H339" s="63" t="s">
        <v>1416</v>
      </c>
      <c r="I339" s="64" t="s">
        <v>1384</v>
      </c>
    </row>
    <row r="340" spans="7:9">
      <c r="G340" s="62">
        <v>3406973</v>
      </c>
      <c r="H340" s="63" t="s">
        <v>1416</v>
      </c>
      <c r="I340" s="64" t="s">
        <v>1384</v>
      </c>
    </row>
    <row r="341" spans="7:9">
      <c r="G341" s="62">
        <v>3406974</v>
      </c>
      <c r="H341" s="63" t="s">
        <v>1418</v>
      </c>
      <c r="I341" s="64" t="s">
        <v>1384</v>
      </c>
    </row>
    <row r="342" spans="7:9">
      <c r="G342" s="62">
        <v>3418971</v>
      </c>
      <c r="H342" s="63" t="s">
        <v>1419</v>
      </c>
      <c r="I342" s="64" t="e">
        <v>#N/A</v>
      </c>
    </row>
    <row r="343" spans="7:9">
      <c r="G343" s="62">
        <v>3418972</v>
      </c>
      <c r="H343" s="63" t="s">
        <v>1419</v>
      </c>
      <c r="I343" s="64" t="s">
        <v>1349</v>
      </c>
    </row>
    <row r="344" spans="7:9">
      <c r="G344" s="62">
        <v>3423705</v>
      </c>
      <c r="H344" s="63" t="s">
        <v>1134</v>
      </c>
      <c r="I344" s="64" t="s">
        <v>1135</v>
      </c>
    </row>
    <row r="345" spans="7:9">
      <c r="G345" s="62">
        <v>3414084</v>
      </c>
      <c r="H345" s="63" t="s">
        <v>1407</v>
      </c>
      <c r="I345" s="64" t="s">
        <v>1405</v>
      </c>
    </row>
    <row r="346" spans="7:9">
      <c r="G346" s="62">
        <v>3414085</v>
      </c>
      <c r="H346" s="63" t="s">
        <v>1407</v>
      </c>
      <c r="I346" s="64" t="s">
        <v>1405</v>
      </c>
    </row>
    <row r="347" spans="7:9">
      <c r="G347" s="62">
        <v>3414075</v>
      </c>
      <c r="H347" s="63" t="s">
        <v>1420</v>
      </c>
      <c r="I347" s="64" t="s">
        <v>1143</v>
      </c>
    </row>
    <row r="348" spans="7:9">
      <c r="G348" s="62">
        <v>3414076</v>
      </c>
      <c r="H348" s="63" t="s">
        <v>1421</v>
      </c>
      <c r="I348" s="64" t="s">
        <v>1143</v>
      </c>
    </row>
    <row r="349" spans="7:9">
      <c r="G349" s="62">
        <v>3414070</v>
      </c>
      <c r="H349" s="63" t="s">
        <v>1422</v>
      </c>
      <c r="I349" s="64" t="s">
        <v>1146</v>
      </c>
    </row>
    <row r="350" spans="7:9">
      <c r="G350" s="62">
        <v>3414077</v>
      </c>
      <c r="H350" s="63" t="s">
        <v>1423</v>
      </c>
      <c r="I350" s="64" t="s">
        <v>1123</v>
      </c>
    </row>
    <row r="351" spans="7:9">
      <c r="G351" s="62">
        <v>3418339</v>
      </c>
      <c r="H351" s="63" t="s">
        <v>1424</v>
      </c>
      <c r="I351" s="64" t="s">
        <v>1146</v>
      </c>
    </row>
    <row r="352" spans="7:9">
      <c r="G352" s="62">
        <v>3418340</v>
      </c>
      <c r="H352" s="63" t="s">
        <v>1424</v>
      </c>
      <c r="I352" s="64" t="s">
        <v>1146</v>
      </c>
    </row>
    <row r="353" spans="7:9">
      <c r="G353" s="62">
        <v>3424838</v>
      </c>
      <c r="H353" s="63" t="s">
        <v>1425</v>
      </c>
      <c r="I353" s="64" t="s">
        <v>1123</v>
      </c>
    </row>
    <row r="354" spans="7:9">
      <c r="G354" s="62">
        <v>3424839</v>
      </c>
      <c r="H354" s="63" t="s">
        <v>1425</v>
      </c>
      <c r="I354" s="64" t="s">
        <v>1123</v>
      </c>
    </row>
    <row r="355" spans="7:9">
      <c r="G355" s="62">
        <v>3409930</v>
      </c>
      <c r="H355" s="63" t="s">
        <v>1367</v>
      </c>
      <c r="I355" s="64" t="s">
        <v>1368</v>
      </c>
    </row>
    <row r="356" spans="7:9">
      <c r="G356" s="62">
        <v>3418973</v>
      </c>
      <c r="H356" s="63" t="s">
        <v>1426</v>
      </c>
      <c r="I356" s="64" t="e">
        <v>#N/A</v>
      </c>
    </row>
    <row r="357" spans="7:9">
      <c r="G357" s="62">
        <v>3418974</v>
      </c>
      <c r="H357" s="63" t="s">
        <v>1427</v>
      </c>
      <c r="I357" s="64" t="e">
        <v>#N/A</v>
      </c>
    </row>
    <row r="358" spans="7:9">
      <c r="G358" s="62">
        <v>3418975</v>
      </c>
      <c r="H358" s="63" t="s">
        <v>1371</v>
      </c>
      <c r="I358" s="64" t="e">
        <v>#N/A</v>
      </c>
    </row>
    <row r="359" spans="7:9">
      <c r="G359" s="62">
        <v>3418976</v>
      </c>
      <c r="H359" s="63" t="s">
        <v>1428</v>
      </c>
      <c r="I359" s="64" t="e">
        <v>#N/A</v>
      </c>
    </row>
    <row r="360" spans="7:9">
      <c r="G360" s="62">
        <v>3418977</v>
      </c>
      <c r="H360" s="63" t="s">
        <v>1429</v>
      </c>
      <c r="I360" s="64" t="e">
        <v>#N/A</v>
      </c>
    </row>
    <row r="361" spans="7:9">
      <c r="G361" s="62">
        <v>3418978</v>
      </c>
      <c r="H361" s="63" t="s">
        <v>1375</v>
      </c>
      <c r="I361" s="64" t="s">
        <v>1377</v>
      </c>
    </row>
    <row r="362" spans="7:9">
      <c r="G362" s="62">
        <v>3418979</v>
      </c>
      <c r="H362" s="63" t="s">
        <v>1375</v>
      </c>
      <c r="I362" s="64" t="s">
        <v>1377</v>
      </c>
    </row>
    <row r="363" spans="7:9">
      <c r="G363" s="62">
        <v>3423198</v>
      </c>
      <c r="H363" s="63" t="s">
        <v>1375</v>
      </c>
      <c r="I363" s="64" t="s">
        <v>1377</v>
      </c>
    </row>
    <row r="364" spans="7:9">
      <c r="G364" s="62">
        <v>3423199</v>
      </c>
      <c r="H364" s="63" t="s">
        <v>1375</v>
      </c>
      <c r="I364" s="64" t="s">
        <v>1377</v>
      </c>
    </row>
    <row r="365" spans="7:9">
      <c r="G365" s="62">
        <v>3423200</v>
      </c>
      <c r="H365" s="63" t="s">
        <v>1375</v>
      </c>
      <c r="I365" s="64" t="s">
        <v>1377</v>
      </c>
    </row>
    <row r="366" spans="7:9">
      <c r="G366" s="62">
        <v>3425377</v>
      </c>
      <c r="H366" s="63" t="s">
        <v>1430</v>
      </c>
      <c r="I366" s="64" t="e">
        <v>#N/A</v>
      </c>
    </row>
    <row r="367" spans="7:9">
      <c r="G367" s="62">
        <v>3425376</v>
      </c>
      <c r="H367" s="63" t="s">
        <v>1430</v>
      </c>
      <c r="I367" s="64" t="e">
        <v>#N/A</v>
      </c>
    </row>
    <row r="368" spans="7:9">
      <c r="G368" s="62">
        <v>3423202</v>
      </c>
      <c r="H368" s="63" t="s">
        <v>1431</v>
      </c>
      <c r="I368" s="64" t="s">
        <v>1222</v>
      </c>
    </row>
    <row r="369" spans="7:9">
      <c r="G369" s="62">
        <v>3423203</v>
      </c>
      <c r="H369" s="63" t="s">
        <v>1431</v>
      </c>
      <c r="I369" s="64" t="s">
        <v>1376</v>
      </c>
    </row>
    <row r="370" spans="7:9">
      <c r="G370" s="62">
        <v>3423204</v>
      </c>
      <c r="H370" s="63" t="s">
        <v>1431</v>
      </c>
      <c r="I370" s="64" t="s">
        <v>1379</v>
      </c>
    </row>
    <row r="371" spans="7:9">
      <c r="G371" s="62">
        <v>3423205</v>
      </c>
      <c r="H371" s="63" t="s">
        <v>1431</v>
      </c>
      <c r="I371" s="64" t="s">
        <v>1376</v>
      </c>
    </row>
    <row r="372" spans="7:9">
      <c r="G372" s="62">
        <v>3424468</v>
      </c>
      <c r="H372" s="63" t="s">
        <v>1432</v>
      </c>
      <c r="I372" s="64" t="s">
        <v>1236</v>
      </c>
    </row>
    <row r="373" spans="7:9">
      <c r="G373" s="62">
        <v>3424469</v>
      </c>
      <c r="H373" s="63" t="s">
        <v>1432</v>
      </c>
      <c r="I373" s="64" t="s">
        <v>1236</v>
      </c>
    </row>
    <row r="374" spans="7:9">
      <c r="G374" s="62">
        <v>3424470</v>
      </c>
      <c r="H374" s="63" t="s">
        <v>1432</v>
      </c>
      <c r="I374" s="64" t="s">
        <v>1236</v>
      </c>
    </row>
    <row r="375" spans="7:9">
      <c r="G375" s="62">
        <v>3424471</v>
      </c>
      <c r="H375" s="63" t="s">
        <v>1432</v>
      </c>
      <c r="I375" s="64" t="s">
        <v>1236</v>
      </c>
    </row>
    <row r="376" spans="7:9">
      <c r="G376" s="62">
        <v>3424472</v>
      </c>
      <c r="H376" s="63" t="s">
        <v>1432</v>
      </c>
      <c r="I376" s="64" t="s">
        <v>1236</v>
      </c>
    </row>
    <row r="377" spans="7:9">
      <c r="G377" s="62">
        <v>3424473</v>
      </c>
      <c r="H377" s="63" t="s">
        <v>1432</v>
      </c>
      <c r="I377" s="64" t="s">
        <v>1236</v>
      </c>
    </row>
    <row r="378" spans="7:9">
      <c r="G378" s="62">
        <v>3424474</v>
      </c>
      <c r="H378" s="63" t="s">
        <v>1432</v>
      </c>
      <c r="I378" s="64" t="s">
        <v>1236</v>
      </c>
    </row>
    <row r="379" spans="7:9">
      <c r="G379" s="62">
        <v>3424475</v>
      </c>
      <c r="H379" s="63" t="s">
        <v>1432</v>
      </c>
      <c r="I379" s="64" t="s">
        <v>1236</v>
      </c>
    </row>
    <row r="380" spans="7:9">
      <c r="G380" s="62">
        <v>3424479</v>
      </c>
      <c r="H380" s="63" t="s">
        <v>1433</v>
      </c>
      <c r="I380" s="64" t="s">
        <v>1236</v>
      </c>
    </row>
    <row r="381" spans="7:9">
      <c r="G381" s="62">
        <v>3424480</v>
      </c>
      <c r="H381" s="63" t="s">
        <v>1433</v>
      </c>
      <c r="I381" s="64" t="s">
        <v>1365</v>
      </c>
    </row>
    <row r="382" spans="7:9">
      <c r="G382" s="62">
        <v>3424481</v>
      </c>
      <c r="H382" s="63" t="s">
        <v>1433</v>
      </c>
      <c r="I382" s="64" t="s">
        <v>1236</v>
      </c>
    </row>
    <row r="383" spans="7:9">
      <c r="G383" s="62">
        <v>3424482</v>
      </c>
      <c r="H383" s="63" t="s">
        <v>1433</v>
      </c>
      <c r="I383" s="64" t="s">
        <v>1236</v>
      </c>
    </row>
    <row r="384" spans="7:9">
      <c r="G384" s="62">
        <v>3424483</v>
      </c>
      <c r="H384" s="63" t="s">
        <v>1433</v>
      </c>
      <c r="I384" s="64" t="s">
        <v>1236</v>
      </c>
    </row>
    <row r="385" spans="7:9">
      <c r="G385" s="62">
        <v>3424484</v>
      </c>
      <c r="H385" s="63" t="s">
        <v>1433</v>
      </c>
      <c r="I385" s="64" t="s">
        <v>1236</v>
      </c>
    </row>
    <row r="386" spans="7:9">
      <c r="G386" s="62">
        <v>3424485</v>
      </c>
      <c r="H386" s="63" t="s">
        <v>1433</v>
      </c>
      <c r="I386" s="64" t="s">
        <v>1236</v>
      </c>
    </row>
    <row r="387" spans="7:9">
      <c r="G387" s="62">
        <v>3424486</v>
      </c>
      <c r="H387" s="63" t="s">
        <v>1433</v>
      </c>
      <c r="I387" s="64" t="s">
        <v>1236</v>
      </c>
    </row>
    <row r="388" spans="7:9">
      <c r="G388" s="62">
        <v>3424487</v>
      </c>
      <c r="H388" s="63" t="s">
        <v>1433</v>
      </c>
      <c r="I388" s="64" t="s">
        <v>1365</v>
      </c>
    </row>
    <row r="389" spans="7:9">
      <c r="G389" s="62">
        <v>3424488</v>
      </c>
      <c r="H389" s="63" t="s">
        <v>1433</v>
      </c>
      <c r="I389" s="64" t="s">
        <v>1236</v>
      </c>
    </row>
    <row r="390" spans="7:9">
      <c r="G390" s="62">
        <v>3437762</v>
      </c>
      <c r="H390" s="63" t="s">
        <v>1434</v>
      </c>
      <c r="I390" s="64" t="s">
        <v>1143</v>
      </c>
    </row>
    <row r="391" spans="7:9">
      <c r="G391" s="62">
        <v>3437763</v>
      </c>
      <c r="H391" s="63" t="s">
        <v>1434</v>
      </c>
      <c r="I391" s="64" t="s">
        <v>1143</v>
      </c>
    </row>
    <row r="392" spans="7:9">
      <c r="G392" s="62">
        <v>3437764</v>
      </c>
      <c r="H392" s="63" t="s">
        <v>1434</v>
      </c>
      <c r="I392" s="64" t="s">
        <v>1143</v>
      </c>
    </row>
    <row r="393" spans="7:9">
      <c r="G393" s="62">
        <v>3437765</v>
      </c>
      <c r="H393" s="63" t="s">
        <v>1435</v>
      </c>
      <c r="I393" s="64" t="s">
        <v>1143</v>
      </c>
    </row>
    <row r="394" spans="7:9">
      <c r="G394" s="62">
        <v>3437766</v>
      </c>
      <c r="H394" s="63" t="s">
        <v>1436</v>
      </c>
      <c r="I394" s="64" t="s">
        <v>1143</v>
      </c>
    </row>
    <row r="395" spans="7:9">
      <c r="G395" s="62">
        <v>3437767</v>
      </c>
      <c r="H395" s="63" t="s">
        <v>1436</v>
      </c>
      <c r="I395" s="64" t="s">
        <v>1143</v>
      </c>
    </row>
    <row r="396" spans="7:9">
      <c r="G396" s="62">
        <v>3437768</v>
      </c>
      <c r="H396" s="63" t="s">
        <v>1436</v>
      </c>
      <c r="I396" s="64" t="s">
        <v>1143</v>
      </c>
    </row>
    <row r="397" spans="7:9">
      <c r="G397" s="62">
        <v>3437769</v>
      </c>
      <c r="H397" s="63" t="s">
        <v>1436</v>
      </c>
      <c r="I397" s="64" t="s">
        <v>1143</v>
      </c>
    </row>
    <row r="398" spans="7:9">
      <c r="G398" s="62" t="s">
        <v>1437</v>
      </c>
      <c r="H398" s="63" t="s">
        <v>1436</v>
      </c>
      <c r="I398" s="64" t="s">
        <v>1143</v>
      </c>
    </row>
    <row r="399" spans="7:9">
      <c r="G399" s="62" t="s">
        <v>1438</v>
      </c>
      <c r="H399" s="63" t="s">
        <v>1436</v>
      </c>
      <c r="I399" s="64" t="s">
        <v>1143</v>
      </c>
    </row>
    <row r="400" spans="7:9">
      <c r="G400" s="62" t="s">
        <v>1439</v>
      </c>
      <c r="H400" s="63" t="s">
        <v>1436</v>
      </c>
      <c r="I400" s="64" t="s">
        <v>1143</v>
      </c>
    </row>
    <row r="401" spans="7:9">
      <c r="G401" s="62" t="s">
        <v>1440</v>
      </c>
      <c r="H401" s="63" t="s">
        <v>1436</v>
      </c>
      <c r="I401" s="64" t="s">
        <v>1143</v>
      </c>
    </row>
    <row r="402" spans="7:9">
      <c r="G402" s="62">
        <v>3437770</v>
      </c>
      <c r="H402" s="63" t="s">
        <v>1441</v>
      </c>
      <c r="I402" s="64" t="e">
        <v>#N/A</v>
      </c>
    </row>
    <row r="403" spans="7:9">
      <c r="G403" s="62">
        <v>3437771</v>
      </c>
      <c r="H403" s="63" t="s">
        <v>1441</v>
      </c>
      <c r="I403" s="64" t="e">
        <v>#N/A</v>
      </c>
    </row>
    <row r="404" spans="7:9">
      <c r="G404" s="62">
        <v>3437772</v>
      </c>
      <c r="H404" s="63" t="s">
        <v>1441</v>
      </c>
      <c r="I404" s="64" t="e">
        <v>#N/A</v>
      </c>
    </row>
    <row r="405" spans="7:9">
      <c r="G405" s="62">
        <v>3437480</v>
      </c>
      <c r="H405" s="63" t="s">
        <v>1442</v>
      </c>
      <c r="I405" s="64" t="e">
        <v>#N/A</v>
      </c>
    </row>
    <row r="406" spans="7:9">
      <c r="G406" s="62">
        <v>3437773</v>
      </c>
      <c r="H406" s="63" t="s">
        <v>1442</v>
      </c>
      <c r="I406" s="64" t="e">
        <v>#N/A</v>
      </c>
    </row>
    <row r="407" spans="7:9">
      <c r="G407" s="62">
        <v>3435455</v>
      </c>
      <c r="H407" s="63" t="s">
        <v>1412</v>
      </c>
      <c r="I407" s="64" t="e">
        <v>#N/A</v>
      </c>
    </row>
    <row r="408" spans="7:9">
      <c r="G408" s="62">
        <v>3437774</v>
      </c>
      <c r="H408" s="63" t="s">
        <v>1443</v>
      </c>
      <c r="I408" s="64" t="e">
        <v>#N/A</v>
      </c>
    </row>
    <row r="409" spans="7:9">
      <c r="G409" s="62">
        <v>3437775</v>
      </c>
      <c r="H409" s="63" t="s">
        <v>1443</v>
      </c>
      <c r="I409" s="64" t="e">
        <v>#N/A</v>
      </c>
    </row>
    <row r="410" spans="7:9">
      <c r="G410" s="62">
        <v>3437776</v>
      </c>
      <c r="H410" s="63" t="s">
        <v>1443</v>
      </c>
      <c r="I410" s="64" t="e">
        <v>#N/A</v>
      </c>
    </row>
    <row r="411" spans="7:9">
      <c r="G411" s="62" t="s">
        <v>1444</v>
      </c>
      <c r="H411" s="63" t="s">
        <v>1445</v>
      </c>
      <c r="I411" s="64" t="e">
        <v>#N/A</v>
      </c>
    </row>
    <row r="412" spans="7:9">
      <c r="G412" s="62" t="s">
        <v>1446</v>
      </c>
      <c r="H412" s="63" t="s">
        <v>1445</v>
      </c>
      <c r="I412" s="64" t="e">
        <v>#N/A</v>
      </c>
    </row>
    <row r="413" spans="7:9">
      <c r="G413" s="62" t="s">
        <v>1447</v>
      </c>
      <c r="H413" s="63" t="s">
        <v>1445</v>
      </c>
      <c r="I413" s="64" t="e">
        <v>#N/A</v>
      </c>
    </row>
    <row r="414" spans="7:9">
      <c r="G414" s="62" t="s">
        <v>1448</v>
      </c>
      <c r="H414" s="63" t="s">
        <v>1445</v>
      </c>
      <c r="I414" s="64" t="e">
        <v>#N/A</v>
      </c>
    </row>
    <row r="415" spans="7:9">
      <c r="G415" s="62">
        <v>3437777</v>
      </c>
      <c r="H415" s="63" t="s">
        <v>1393</v>
      </c>
      <c r="I415" s="64" t="s">
        <v>1236</v>
      </c>
    </row>
    <row r="416" spans="7:9">
      <c r="G416" s="62">
        <v>3437778</v>
      </c>
      <c r="H416" s="63" t="s">
        <v>1449</v>
      </c>
      <c r="I416" s="64" t="e">
        <v>#N/A</v>
      </c>
    </row>
    <row r="417" spans="7:9">
      <c r="G417" s="62">
        <v>3437779</v>
      </c>
      <c r="H417" s="63" t="s">
        <v>1449</v>
      </c>
      <c r="I417" s="64" t="e">
        <v>#N/A</v>
      </c>
    </row>
    <row r="418" spans="7:9">
      <c r="G418" s="62">
        <v>3437780</v>
      </c>
      <c r="H418" s="63" t="s">
        <v>1449</v>
      </c>
      <c r="I418" s="64" t="e">
        <v>#N/A</v>
      </c>
    </row>
    <row r="419" spans="7:9">
      <c r="G419" s="62">
        <v>3437781</v>
      </c>
      <c r="H419" s="63" t="s">
        <v>1449</v>
      </c>
      <c r="I419" s="64" t="e">
        <v>#N/A</v>
      </c>
    </row>
    <row r="420" spans="7:9">
      <c r="G420" s="62" t="s">
        <v>1450</v>
      </c>
      <c r="H420" s="63" t="s">
        <v>1451</v>
      </c>
      <c r="I420" s="64" t="e">
        <v>#N/A</v>
      </c>
    </row>
    <row r="421" spans="7:9">
      <c r="G421" s="62" t="s">
        <v>1452</v>
      </c>
      <c r="H421" s="63" t="s">
        <v>1451</v>
      </c>
      <c r="I421" s="64" t="e">
        <v>#N/A</v>
      </c>
    </row>
    <row r="422" spans="7:9">
      <c r="G422" s="62" t="s">
        <v>1453</v>
      </c>
      <c r="H422" s="63" t="s">
        <v>1451</v>
      </c>
      <c r="I422" s="64" t="e">
        <v>#N/A</v>
      </c>
    </row>
    <row r="423" spans="7:9">
      <c r="G423" s="62" t="s">
        <v>1454</v>
      </c>
      <c r="H423" s="63" t="s">
        <v>1451</v>
      </c>
      <c r="I423" s="64" t="e">
        <v>#N/A</v>
      </c>
    </row>
    <row r="424" spans="7:9">
      <c r="G424" s="62">
        <v>3437782</v>
      </c>
      <c r="H424" s="63" t="s">
        <v>1455</v>
      </c>
      <c r="I424" s="64" t="e">
        <v>#N/A</v>
      </c>
    </row>
    <row r="425" spans="7:9">
      <c r="G425" s="62">
        <v>3437783</v>
      </c>
      <c r="H425" s="63" t="s">
        <v>1455</v>
      </c>
      <c r="I425" s="64" t="e">
        <v>#N/A</v>
      </c>
    </row>
    <row r="426" spans="7:9">
      <c r="G426" s="62">
        <v>3437784</v>
      </c>
      <c r="H426" s="63" t="s">
        <v>1455</v>
      </c>
      <c r="I426" s="64" t="e">
        <v>#N/A</v>
      </c>
    </row>
    <row r="427" spans="7:9">
      <c r="G427" s="62">
        <v>3437785</v>
      </c>
      <c r="H427" s="63" t="s">
        <v>1455</v>
      </c>
      <c r="I427" s="64" t="e">
        <v>#N/A</v>
      </c>
    </row>
    <row r="428" spans="7:9">
      <c r="G428" s="62">
        <v>3437786</v>
      </c>
      <c r="H428" s="63" t="s">
        <v>1456</v>
      </c>
      <c r="I428" s="64" t="s">
        <v>1365</v>
      </c>
    </row>
    <row r="429" spans="7:9">
      <c r="G429" s="62" t="s">
        <v>1457</v>
      </c>
      <c r="H429" s="63" t="s">
        <v>1456</v>
      </c>
      <c r="I429" s="64" t="e">
        <v>#N/A</v>
      </c>
    </row>
    <row r="430" spans="7:9">
      <c r="G430" s="62" t="s">
        <v>1458</v>
      </c>
      <c r="H430" s="63" t="s">
        <v>1456</v>
      </c>
      <c r="I430" s="64" t="e">
        <v>#N/A</v>
      </c>
    </row>
    <row r="431" spans="7:9">
      <c r="G431" s="62" t="s">
        <v>1459</v>
      </c>
      <c r="H431" s="63" t="s">
        <v>1460</v>
      </c>
      <c r="I431" s="64" t="e">
        <v>#N/A</v>
      </c>
    </row>
    <row r="432" spans="7:9">
      <c r="G432" s="62" t="s">
        <v>1461</v>
      </c>
      <c r="H432" s="63" t="s">
        <v>1460</v>
      </c>
      <c r="I432" s="64" t="e">
        <v>#N/A</v>
      </c>
    </row>
    <row r="433" spans="7:9">
      <c r="G433" s="62" t="s">
        <v>1462</v>
      </c>
      <c r="H433" s="63" t="s">
        <v>1460</v>
      </c>
      <c r="I433" s="64" t="e">
        <v>#N/A</v>
      </c>
    </row>
    <row r="434" spans="7:9">
      <c r="G434" s="62" t="s">
        <v>1463</v>
      </c>
      <c r="H434" s="63" t="s">
        <v>1460</v>
      </c>
      <c r="I434" s="64" t="e">
        <v>#N/A</v>
      </c>
    </row>
    <row r="435" spans="7:9">
      <c r="G435" s="62" t="s">
        <v>1464</v>
      </c>
      <c r="H435" s="63" t="s">
        <v>1460</v>
      </c>
      <c r="I435" s="64" t="e">
        <v>#N/A</v>
      </c>
    </row>
    <row r="436" spans="7:9">
      <c r="G436" s="62" t="s">
        <v>1465</v>
      </c>
      <c r="H436" s="63" t="s">
        <v>1460</v>
      </c>
      <c r="I436" s="64" t="e">
        <v>#N/A</v>
      </c>
    </row>
    <row r="437" spans="7:9">
      <c r="G437" s="62" t="s">
        <v>1466</v>
      </c>
      <c r="H437" s="63" t="s">
        <v>1460</v>
      </c>
      <c r="I437" s="64" t="e">
        <v>#N/A</v>
      </c>
    </row>
    <row r="438" spans="7:9">
      <c r="G438" s="62" t="s">
        <v>1467</v>
      </c>
      <c r="H438" s="63" t="s">
        <v>1460</v>
      </c>
      <c r="I438" s="64" t="e">
        <v>#N/A</v>
      </c>
    </row>
    <row r="439" spans="7:9">
      <c r="G439" s="62" t="s">
        <v>1468</v>
      </c>
      <c r="H439" s="63" t="s">
        <v>1460</v>
      </c>
      <c r="I439" s="64" t="e">
        <v>#N/A</v>
      </c>
    </row>
    <row r="440" spans="7:9">
      <c r="G440" s="62" t="s">
        <v>1469</v>
      </c>
      <c r="H440" s="63" t="s">
        <v>1460</v>
      </c>
      <c r="I440" s="64" t="e">
        <v>#N/A</v>
      </c>
    </row>
    <row r="441" spans="7:9">
      <c r="G441" s="62" t="s">
        <v>1470</v>
      </c>
      <c r="H441" s="63" t="s">
        <v>1460</v>
      </c>
      <c r="I441" s="64" t="e">
        <v>#N/A</v>
      </c>
    </row>
    <row r="442" spans="7:9">
      <c r="G442" s="62" t="s">
        <v>1471</v>
      </c>
      <c r="H442" s="63" t="s">
        <v>1460</v>
      </c>
      <c r="I442" s="64" t="e">
        <v>#N/A</v>
      </c>
    </row>
    <row r="443" spans="7:9">
      <c r="G443" s="62" t="s">
        <v>1472</v>
      </c>
      <c r="H443" s="63" t="s">
        <v>1473</v>
      </c>
      <c r="I443" s="64" t="e">
        <v>#N/A</v>
      </c>
    </row>
    <row r="444" spans="7:9">
      <c r="G444" s="62">
        <v>3437787</v>
      </c>
      <c r="H444" s="63" t="s">
        <v>1474</v>
      </c>
      <c r="I444" s="64" t="e">
        <v>#N/A</v>
      </c>
    </row>
    <row r="445" spans="7:9">
      <c r="G445" s="62">
        <v>3437788</v>
      </c>
      <c r="H445" s="63" t="s">
        <v>1474</v>
      </c>
      <c r="I445" s="64" t="e">
        <v>#N/A</v>
      </c>
    </row>
    <row r="446" spans="7:9">
      <c r="G446" s="62">
        <v>3437789</v>
      </c>
      <c r="H446" s="63" t="s">
        <v>1474</v>
      </c>
      <c r="I446" s="64" t="e">
        <v>#N/A</v>
      </c>
    </row>
    <row r="447" spans="7:9">
      <c r="G447" s="62">
        <v>3437790</v>
      </c>
      <c r="H447" s="63" t="s">
        <v>1474</v>
      </c>
      <c r="I447" s="64" t="e">
        <v>#N/A</v>
      </c>
    </row>
    <row r="448" spans="7:9">
      <c r="G448" s="62">
        <v>3437791</v>
      </c>
      <c r="H448" s="63" t="s">
        <v>1474</v>
      </c>
      <c r="I448" s="64" t="e">
        <v>#N/A</v>
      </c>
    </row>
    <row r="449" spans="7:9">
      <c r="G449" s="62">
        <v>3437792</v>
      </c>
      <c r="H449" s="63" t="s">
        <v>1474</v>
      </c>
      <c r="I449" s="64" t="e">
        <v>#N/A</v>
      </c>
    </row>
    <row r="450" spans="7:9">
      <c r="G450" s="62">
        <v>3437793</v>
      </c>
      <c r="H450" s="63" t="s">
        <v>1474</v>
      </c>
      <c r="I450" s="64" t="e">
        <v>#N/A</v>
      </c>
    </row>
    <row r="451" spans="7:9">
      <c r="G451" s="62">
        <v>3437794</v>
      </c>
      <c r="H451" s="63" t="s">
        <v>1474</v>
      </c>
      <c r="I451" s="64" t="e">
        <v>#N/A</v>
      </c>
    </row>
    <row r="452" spans="7:9">
      <c r="G452" s="62">
        <v>3437795</v>
      </c>
      <c r="H452" s="63" t="s">
        <v>1475</v>
      </c>
      <c r="I452" s="64" t="e">
        <v>#N/A</v>
      </c>
    </row>
    <row r="453" spans="7:9">
      <c r="G453" s="62">
        <v>3437796</v>
      </c>
      <c r="H453" s="63" t="s">
        <v>1475</v>
      </c>
      <c r="I453" s="64" t="e">
        <v>#N/A</v>
      </c>
    </row>
    <row r="454" spans="7:9">
      <c r="G454" s="62">
        <v>3437797</v>
      </c>
      <c r="H454" s="63" t="s">
        <v>1475</v>
      </c>
      <c r="I454" s="64" t="e">
        <v>#N/A</v>
      </c>
    </row>
    <row r="455" spans="7:9">
      <c r="G455" s="62">
        <v>3437798</v>
      </c>
      <c r="H455" s="63" t="s">
        <v>1475</v>
      </c>
      <c r="I455" s="64" t="e">
        <v>#N/A</v>
      </c>
    </row>
    <row r="456" spans="7:9">
      <c r="G456" s="62">
        <v>3437799</v>
      </c>
      <c r="H456" s="63" t="s">
        <v>1476</v>
      </c>
      <c r="I456" s="64" t="e">
        <v>#N/A</v>
      </c>
    </row>
    <row r="457" spans="7:9">
      <c r="G457" s="62">
        <v>3437800</v>
      </c>
      <c r="H457" s="63" t="s">
        <v>1476</v>
      </c>
      <c r="I457" s="64" t="e">
        <v>#N/A</v>
      </c>
    </row>
    <row r="458" spans="7:9">
      <c r="G458" s="62">
        <v>3437801</v>
      </c>
      <c r="H458" s="63" t="s">
        <v>1476</v>
      </c>
      <c r="I458" s="64" t="e">
        <v>#N/A</v>
      </c>
    </row>
    <row r="459" spans="7:9">
      <c r="G459" s="62">
        <v>3437802</v>
      </c>
      <c r="H459" s="63" t="s">
        <v>1476</v>
      </c>
      <c r="I459" s="64" t="e">
        <v>#N/A</v>
      </c>
    </row>
    <row r="460" spans="7:9">
      <c r="G460" s="62">
        <v>3437803</v>
      </c>
      <c r="H460" s="63" t="s">
        <v>1477</v>
      </c>
      <c r="I460" s="64" t="e">
        <v>#N/A</v>
      </c>
    </row>
    <row r="461" spans="7:9">
      <c r="G461" s="62">
        <v>3437804</v>
      </c>
      <c r="H461" s="63" t="s">
        <v>1477</v>
      </c>
      <c r="I461" s="64" t="e">
        <v>#N/A</v>
      </c>
    </row>
    <row r="462" spans="7:9">
      <c r="G462" s="62">
        <v>3437805</v>
      </c>
      <c r="H462" s="63" t="s">
        <v>1477</v>
      </c>
      <c r="I462" s="64" t="e">
        <v>#N/A</v>
      </c>
    </row>
    <row r="463" spans="7:9">
      <c r="G463" s="62" t="s">
        <v>1478</v>
      </c>
      <c r="H463" s="63" t="s">
        <v>1477</v>
      </c>
      <c r="I463" s="64" t="e">
        <v>#N/A</v>
      </c>
    </row>
    <row r="464" spans="7:9">
      <c r="G464" s="62">
        <v>3437806</v>
      </c>
      <c r="H464" s="63" t="s">
        <v>1479</v>
      </c>
      <c r="I464" s="64" t="e">
        <v>#N/A</v>
      </c>
    </row>
    <row r="465" spans="7:9">
      <c r="G465" s="62">
        <v>3437807</v>
      </c>
      <c r="H465" s="63" t="s">
        <v>1479</v>
      </c>
      <c r="I465" s="64" t="e">
        <v>#N/A</v>
      </c>
    </row>
    <row r="466" spans="7:9">
      <c r="G466" s="62">
        <v>3437808</v>
      </c>
      <c r="H466" s="63" t="s">
        <v>1479</v>
      </c>
      <c r="I466" s="64" t="e">
        <v>#N/A</v>
      </c>
    </row>
    <row r="467" spans="7:9">
      <c r="G467" s="62">
        <v>3437809</v>
      </c>
      <c r="H467" s="63" t="s">
        <v>1479</v>
      </c>
      <c r="I467" s="64" t="e">
        <v>#N/A</v>
      </c>
    </row>
    <row r="468" spans="7:9">
      <c r="G468" s="62">
        <v>3437810</v>
      </c>
      <c r="H468" s="63" t="s">
        <v>1480</v>
      </c>
      <c r="I468" s="64" t="e">
        <v>#N/A</v>
      </c>
    </row>
    <row r="469" spans="7:9">
      <c r="G469" s="62">
        <v>3437811</v>
      </c>
      <c r="H469" s="63" t="s">
        <v>1480</v>
      </c>
      <c r="I469" s="64" t="e">
        <v>#N/A</v>
      </c>
    </row>
    <row r="470" spans="7:9">
      <c r="G470" s="62">
        <v>3437812</v>
      </c>
      <c r="H470" s="63" t="s">
        <v>1480</v>
      </c>
      <c r="I470" s="64" t="e">
        <v>#N/A</v>
      </c>
    </row>
    <row r="471" spans="7:9">
      <c r="G471" s="62">
        <v>3437813</v>
      </c>
      <c r="H471" s="63" t="s">
        <v>1480</v>
      </c>
      <c r="I471" s="64" t="e">
        <v>#N/A</v>
      </c>
    </row>
    <row r="472" spans="7:9">
      <c r="G472" s="62">
        <v>3437814</v>
      </c>
      <c r="H472" s="63" t="s">
        <v>1481</v>
      </c>
      <c r="I472" s="64" t="e">
        <v>#N/A</v>
      </c>
    </row>
    <row r="473" spans="7:9">
      <c r="G473" s="62">
        <v>3437815</v>
      </c>
      <c r="H473" s="63" t="s">
        <v>1077</v>
      </c>
      <c r="I473" s="64" t="e">
        <v>#N/A</v>
      </c>
    </row>
    <row r="474" spans="7:9">
      <c r="G474" s="62">
        <v>3437816</v>
      </c>
      <c r="H474" s="63" t="s">
        <v>1077</v>
      </c>
      <c r="I474" s="64" t="e">
        <v>#N/A</v>
      </c>
    </row>
    <row r="475" spans="7:9">
      <c r="G475" s="62">
        <v>3437817</v>
      </c>
      <c r="H475" s="63" t="s">
        <v>1077</v>
      </c>
      <c r="I475" s="64" t="e">
        <v>#N/A</v>
      </c>
    </row>
    <row r="476" spans="7:9">
      <c r="G476" s="62">
        <v>3437818</v>
      </c>
      <c r="H476" s="63" t="s">
        <v>1077</v>
      </c>
      <c r="I476" s="64" t="e">
        <v>#N/A</v>
      </c>
    </row>
    <row r="477" spans="7:9">
      <c r="G477" s="62">
        <v>3437819</v>
      </c>
      <c r="H477" s="63" t="s">
        <v>1079</v>
      </c>
      <c r="I477" s="64" t="e">
        <v>#N/A</v>
      </c>
    </row>
    <row r="478" spans="7:9">
      <c r="G478" s="62">
        <v>3437820</v>
      </c>
      <c r="H478" s="63" t="s">
        <v>1079</v>
      </c>
      <c r="I478" s="64" t="e">
        <v>#N/A</v>
      </c>
    </row>
    <row r="479" spans="7:9">
      <c r="G479" s="62">
        <v>3437821</v>
      </c>
      <c r="H479" s="63" t="s">
        <v>1079</v>
      </c>
      <c r="I479" s="64" t="e">
        <v>#N/A</v>
      </c>
    </row>
    <row r="480" spans="7:9">
      <c r="G480" s="62">
        <v>3437822</v>
      </c>
      <c r="H480" s="63" t="s">
        <v>1079</v>
      </c>
      <c r="I480" s="64" t="e">
        <v>#N/A</v>
      </c>
    </row>
    <row r="481" spans="7:9">
      <c r="G481" s="62">
        <v>3437823</v>
      </c>
      <c r="H481" s="63" t="s">
        <v>1482</v>
      </c>
      <c r="I481" s="64" t="e">
        <v>#N/A</v>
      </c>
    </row>
    <row r="482" spans="7:9">
      <c r="G482" s="62">
        <v>3437824</v>
      </c>
      <c r="H482" s="63" t="s">
        <v>1482</v>
      </c>
      <c r="I482" s="64" t="e">
        <v>#N/A</v>
      </c>
    </row>
    <row r="483" spans="7:9">
      <c r="G483" s="62">
        <v>3437825</v>
      </c>
      <c r="H483" s="63" t="s">
        <v>1482</v>
      </c>
      <c r="I483" s="64" t="e">
        <v>#N/A</v>
      </c>
    </row>
    <row r="484" spans="7:9">
      <c r="G484" s="62">
        <v>3437826</v>
      </c>
      <c r="H484" s="63" t="s">
        <v>1482</v>
      </c>
      <c r="I484" s="64" t="e">
        <v>#N/A</v>
      </c>
    </row>
    <row r="485" spans="7:9">
      <c r="G485" s="62">
        <v>3437827</v>
      </c>
      <c r="H485" s="63" t="s">
        <v>1483</v>
      </c>
      <c r="I485" s="64" t="e">
        <v>#N/A</v>
      </c>
    </row>
    <row r="486" spans="7:9">
      <c r="G486" s="62">
        <v>3437828</v>
      </c>
      <c r="H486" s="63" t="s">
        <v>1483</v>
      </c>
      <c r="I486" s="64" t="e">
        <v>#N/A</v>
      </c>
    </row>
    <row r="487" spans="7:9">
      <c r="G487" s="62">
        <v>3437829</v>
      </c>
      <c r="H487" s="63" t="s">
        <v>1483</v>
      </c>
      <c r="I487" s="64" t="e">
        <v>#N/A</v>
      </c>
    </row>
    <row r="488" spans="7:9">
      <c r="G488" s="62">
        <v>3437830</v>
      </c>
      <c r="H488" s="63" t="s">
        <v>1483</v>
      </c>
      <c r="I488" s="64" t="e">
        <v>#N/A</v>
      </c>
    </row>
    <row r="489" spans="7:9">
      <c r="G489" s="62">
        <v>3437831</v>
      </c>
      <c r="H489" s="63" t="s">
        <v>1484</v>
      </c>
      <c r="I489" s="64" t="e">
        <v>#N/A</v>
      </c>
    </row>
    <row r="490" spans="7:9">
      <c r="G490" s="62">
        <v>3437832</v>
      </c>
      <c r="H490" s="63" t="s">
        <v>1484</v>
      </c>
      <c r="I490" s="64" t="e">
        <v>#N/A</v>
      </c>
    </row>
    <row r="491" spans="7:9">
      <c r="G491" s="62">
        <v>3437833</v>
      </c>
      <c r="H491" s="63" t="s">
        <v>1484</v>
      </c>
      <c r="I491" s="64" t="e">
        <v>#N/A</v>
      </c>
    </row>
    <row r="492" spans="7:9">
      <c r="G492" s="62">
        <v>3437834</v>
      </c>
      <c r="H492" s="63" t="s">
        <v>1484</v>
      </c>
      <c r="I492" s="64" t="e">
        <v>#N/A</v>
      </c>
    </row>
    <row r="493" spans="7:9">
      <c r="G493" s="62">
        <v>3437835</v>
      </c>
      <c r="H493" s="63" t="s">
        <v>1088</v>
      </c>
      <c r="I493" s="64" t="e">
        <v>#N/A</v>
      </c>
    </row>
    <row r="494" spans="7:9">
      <c r="G494" s="62">
        <v>3437836</v>
      </c>
      <c r="H494" s="63" t="s">
        <v>1088</v>
      </c>
      <c r="I494" s="64" t="e">
        <v>#N/A</v>
      </c>
    </row>
    <row r="495" spans="7:9">
      <c r="G495" s="62">
        <v>3437837</v>
      </c>
      <c r="H495" s="63" t="s">
        <v>1088</v>
      </c>
      <c r="I495" s="64" t="e">
        <v>#N/A</v>
      </c>
    </row>
    <row r="496" spans="7:9">
      <c r="G496" s="62">
        <v>3437838</v>
      </c>
      <c r="H496" s="63" t="s">
        <v>1088</v>
      </c>
      <c r="I496" s="64" t="e">
        <v>#N/A</v>
      </c>
    </row>
    <row r="497" spans="7:9">
      <c r="G497" s="62">
        <v>3437839</v>
      </c>
      <c r="H497" s="63" t="s">
        <v>1098</v>
      </c>
      <c r="I497" s="64" t="e">
        <v>#N/A</v>
      </c>
    </row>
    <row r="498" spans="7:9">
      <c r="G498" s="62">
        <v>3437840</v>
      </c>
      <c r="H498" s="63" t="s">
        <v>1098</v>
      </c>
      <c r="I498" s="64" t="e">
        <v>#N/A</v>
      </c>
    </row>
    <row r="499" spans="7:9">
      <c r="G499" s="62">
        <v>3437841</v>
      </c>
      <c r="H499" s="63" t="s">
        <v>1098</v>
      </c>
      <c r="I499" s="64" t="e">
        <v>#N/A</v>
      </c>
    </row>
    <row r="500" spans="7:9">
      <c r="G500" s="62">
        <v>3437842</v>
      </c>
      <c r="H500" s="63" t="s">
        <v>1098</v>
      </c>
      <c r="I500" s="64" t="e">
        <v>#N/A</v>
      </c>
    </row>
    <row r="501" spans="7:9">
      <c r="G501" s="62" t="s">
        <v>1485</v>
      </c>
      <c r="H501" s="63" t="s">
        <v>1486</v>
      </c>
      <c r="I501" s="64" t="e">
        <v>#N/A</v>
      </c>
    </row>
    <row r="502" spans="7:9">
      <c r="G502" s="62" t="s">
        <v>1487</v>
      </c>
      <c r="H502" s="63" t="s">
        <v>1486</v>
      </c>
      <c r="I502" s="64" t="e">
        <v>#N/A</v>
      </c>
    </row>
    <row r="503" spans="7:9">
      <c r="G503" s="62" t="s">
        <v>1488</v>
      </c>
      <c r="H503" s="63" t="s">
        <v>1489</v>
      </c>
      <c r="I503" s="64" t="e">
        <v>#N/A</v>
      </c>
    </row>
    <row r="504" spans="7:9">
      <c r="G504" s="62" t="s">
        <v>1490</v>
      </c>
      <c r="H504" s="63" t="s">
        <v>1489</v>
      </c>
      <c r="I504" s="64" t="e">
        <v>#N/A</v>
      </c>
    </row>
    <row r="505" spans="7:9">
      <c r="G505" s="62" t="s">
        <v>1491</v>
      </c>
      <c r="H505" s="63" t="s">
        <v>1492</v>
      </c>
      <c r="I505" s="64" t="e">
        <v>#N/A</v>
      </c>
    </row>
    <row r="506" spans="7:9">
      <c r="G506" s="62" t="s">
        <v>1493</v>
      </c>
      <c r="H506" s="63" t="s">
        <v>1492</v>
      </c>
      <c r="I506" s="64" t="e">
        <v>#N/A</v>
      </c>
    </row>
    <row r="507" spans="7:9">
      <c r="G507" s="62" t="s">
        <v>1494</v>
      </c>
      <c r="H507" s="63" t="s">
        <v>1492</v>
      </c>
      <c r="I507" s="64" t="e">
        <v>#N/A</v>
      </c>
    </row>
    <row r="508" spans="7:9">
      <c r="G508" s="62" t="s">
        <v>1495</v>
      </c>
      <c r="H508" s="63" t="s">
        <v>1492</v>
      </c>
      <c r="I508" s="64" t="e">
        <v>#N/A</v>
      </c>
    </row>
    <row r="509" spans="7:9">
      <c r="G509" s="62">
        <v>3437843</v>
      </c>
      <c r="H509" s="63" t="s">
        <v>1424</v>
      </c>
      <c r="I509" s="64" t="e">
        <v>#N/A</v>
      </c>
    </row>
    <row r="510" spans="7:9">
      <c r="G510" s="62">
        <v>3437844</v>
      </c>
      <c r="H510" s="63" t="s">
        <v>1424</v>
      </c>
      <c r="I510" s="64" t="e">
        <v>#N/A</v>
      </c>
    </row>
    <row r="511" spans="7:9">
      <c r="G511" s="62">
        <v>3437845</v>
      </c>
      <c r="H511" s="63" t="s">
        <v>1142</v>
      </c>
      <c r="I511" s="64" t="e">
        <v>#N/A</v>
      </c>
    </row>
    <row r="512" spans="7:9">
      <c r="G512" s="62">
        <v>3437846</v>
      </c>
      <c r="H512" s="63" t="s">
        <v>1139</v>
      </c>
      <c r="I512" s="64" t="s">
        <v>1135</v>
      </c>
    </row>
    <row r="513" spans="7:9">
      <c r="G513" s="62">
        <v>3424476</v>
      </c>
      <c r="H513" s="63" t="s">
        <v>1496</v>
      </c>
      <c r="I513" s="64" t="s">
        <v>1143</v>
      </c>
    </row>
    <row r="514" spans="7:9">
      <c r="G514" s="62">
        <v>3437611</v>
      </c>
      <c r="H514" s="63" t="s">
        <v>1497</v>
      </c>
      <c r="I514" s="64" t="s">
        <v>1143</v>
      </c>
    </row>
    <row r="515" spans="7:9">
      <c r="G515" s="62" t="s">
        <v>1498</v>
      </c>
      <c r="H515" s="63" t="s">
        <v>1499</v>
      </c>
      <c r="I515" s="64" t="e">
        <v>#N/A</v>
      </c>
    </row>
    <row r="516" spans="7:9">
      <c r="G516" s="62">
        <v>3437847</v>
      </c>
      <c r="H516" s="63" t="s">
        <v>1500</v>
      </c>
      <c r="I516" s="64" t="e">
        <v>#N/A</v>
      </c>
    </row>
    <row r="517" spans="7:9">
      <c r="G517" s="62">
        <v>3437848</v>
      </c>
      <c r="H517" s="63" t="s">
        <v>1499</v>
      </c>
      <c r="I517" s="64" t="e">
        <v>#N/A</v>
      </c>
    </row>
    <row r="518" spans="7:9">
      <c r="G518" s="62">
        <v>3437849</v>
      </c>
      <c r="H518" s="63" t="s">
        <v>1501</v>
      </c>
      <c r="I518" s="64" t="e">
        <v>#N/A</v>
      </c>
    </row>
    <row r="519" spans="7:9">
      <c r="G519" s="62" t="s">
        <v>1502</v>
      </c>
      <c r="H519" s="63" t="s">
        <v>1503</v>
      </c>
      <c r="I519" s="64" t="e">
        <v>#N/A</v>
      </c>
    </row>
    <row r="520" spans="7:9">
      <c r="G520" s="62" t="s">
        <v>1504</v>
      </c>
      <c r="H520" s="63" t="s">
        <v>1503</v>
      </c>
      <c r="I520" s="64" t="e">
        <v>#N/A</v>
      </c>
    </row>
    <row r="521" spans="7:9">
      <c r="G521" s="62">
        <v>3437850</v>
      </c>
      <c r="H521" s="63" t="s">
        <v>1505</v>
      </c>
      <c r="I521" s="64" t="s">
        <v>1135</v>
      </c>
    </row>
    <row r="522" spans="7:9">
      <c r="G522" s="62">
        <v>3424477</v>
      </c>
      <c r="H522" s="63" t="s">
        <v>1506</v>
      </c>
      <c r="I522" s="64"/>
    </row>
    <row r="523" spans="7:9">
      <c r="G523" s="62">
        <v>3434593</v>
      </c>
      <c r="H523" s="63" t="s">
        <v>1506</v>
      </c>
      <c r="I523" s="64"/>
    </row>
    <row r="524" spans="7:9">
      <c r="G524" s="62">
        <v>3414072</v>
      </c>
      <c r="H524" s="63" t="s">
        <v>1507</v>
      </c>
      <c r="I524" s="64" t="s">
        <v>1146</v>
      </c>
    </row>
    <row r="525" spans="7:9">
      <c r="G525" s="62">
        <v>3427236</v>
      </c>
      <c r="H525" s="63" t="s">
        <v>1507</v>
      </c>
      <c r="I525" s="64" t="s">
        <v>1146</v>
      </c>
    </row>
    <row r="526" spans="7:9">
      <c r="G526" s="62">
        <v>3437851</v>
      </c>
      <c r="H526" s="63" t="s">
        <v>1507</v>
      </c>
      <c r="I526" s="64" t="s">
        <v>1146</v>
      </c>
    </row>
    <row r="527" spans="7:9">
      <c r="G527" s="62">
        <v>3437852</v>
      </c>
      <c r="H527" s="63" t="s">
        <v>1507</v>
      </c>
      <c r="I527" s="64" t="s">
        <v>1146</v>
      </c>
    </row>
    <row r="528" spans="7:9">
      <c r="G528" s="62">
        <v>3437853</v>
      </c>
      <c r="H528" s="63" t="s">
        <v>1507</v>
      </c>
      <c r="I528" s="64" t="s">
        <v>1146</v>
      </c>
    </row>
    <row r="529" spans="7:9">
      <c r="G529" s="62">
        <v>3437854</v>
      </c>
      <c r="H529" s="63" t="s">
        <v>1507</v>
      </c>
      <c r="I529" s="64" t="s">
        <v>1146</v>
      </c>
    </row>
    <row r="530" spans="7:9">
      <c r="G530" s="62" t="s">
        <v>1508</v>
      </c>
      <c r="H530" s="63" t="s">
        <v>1507</v>
      </c>
      <c r="I530" s="64" t="s">
        <v>1146</v>
      </c>
    </row>
    <row r="531" spans="7:9">
      <c r="G531" s="62" t="s">
        <v>1509</v>
      </c>
      <c r="H531" s="63" t="s">
        <v>1507</v>
      </c>
      <c r="I531" s="64" t="s">
        <v>1146</v>
      </c>
    </row>
    <row r="532" spans="7:9">
      <c r="G532" s="62" t="s">
        <v>1510</v>
      </c>
      <c r="H532" s="63" t="s">
        <v>1511</v>
      </c>
      <c r="I532" s="64" t="s">
        <v>1146</v>
      </c>
    </row>
    <row r="533" spans="7:9">
      <c r="G533" s="62" t="s">
        <v>1512</v>
      </c>
      <c r="H533" s="63" t="s">
        <v>1511</v>
      </c>
      <c r="I533" s="64" t="s">
        <v>1146</v>
      </c>
    </row>
    <row r="534" spans="7:9">
      <c r="G534" s="62">
        <v>3437855</v>
      </c>
      <c r="H534" s="63" t="s">
        <v>1425</v>
      </c>
      <c r="I534" s="64" t="s">
        <v>1123</v>
      </c>
    </row>
    <row r="535" spans="7:9">
      <c r="G535" s="62">
        <v>3437856</v>
      </c>
      <c r="H535" s="63" t="s">
        <v>1425</v>
      </c>
      <c r="I535" s="64" t="s">
        <v>1123</v>
      </c>
    </row>
    <row r="536" spans="7:9">
      <c r="G536" s="62" t="s">
        <v>1513</v>
      </c>
      <c r="H536" s="63" t="s">
        <v>1425</v>
      </c>
      <c r="I536" s="64" t="s">
        <v>1123</v>
      </c>
    </row>
    <row r="537" spans="7:9">
      <c r="G537" s="62" t="s">
        <v>1514</v>
      </c>
      <c r="H537" s="63" t="s">
        <v>1425</v>
      </c>
      <c r="I537" s="64" t="s">
        <v>1123</v>
      </c>
    </row>
    <row r="538" spans="7:9">
      <c r="G538" s="62">
        <v>3437857</v>
      </c>
      <c r="H538" s="63" t="s">
        <v>1422</v>
      </c>
      <c r="I538" s="64" t="s">
        <v>1146</v>
      </c>
    </row>
    <row r="539" spans="7:9">
      <c r="G539" s="62">
        <v>3437858</v>
      </c>
      <c r="H539" s="63" t="s">
        <v>1515</v>
      </c>
      <c r="I539" s="64" t="e">
        <v>#N/A</v>
      </c>
    </row>
    <row r="540" spans="7:9">
      <c r="G540" s="62">
        <v>3437859</v>
      </c>
      <c r="H540" s="63" t="s">
        <v>1423</v>
      </c>
      <c r="I540" s="64" t="e">
        <v>#N/A</v>
      </c>
    </row>
    <row r="541" spans="7:9">
      <c r="G541" s="62">
        <v>3437860</v>
      </c>
      <c r="H541" s="63" t="s">
        <v>1516</v>
      </c>
      <c r="I541" s="64" t="e">
        <v>#N/A</v>
      </c>
    </row>
    <row r="542" spans="7:9">
      <c r="G542" s="62">
        <v>3437861</v>
      </c>
      <c r="H542" s="63" t="s">
        <v>1516</v>
      </c>
      <c r="I542" s="64" t="e">
        <v>#N/A</v>
      </c>
    </row>
    <row r="543" spans="7:9">
      <c r="G543" s="62">
        <v>3437862</v>
      </c>
      <c r="H543" s="63" t="s">
        <v>1516</v>
      </c>
      <c r="I543" s="64" t="e">
        <v>#N/A</v>
      </c>
    </row>
    <row r="544" spans="7:9">
      <c r="G544" s="62">
        <v>3437863</v>
      </c>
      <c r="H544" s="63" t="s">
        <v>1517</v>
      </c>
      <c r="I544" s="64" t="e">
        <v>#N/A</v>
      </c>
    </row>
    <row r="545" spans="7:9">
      <c r="G545" s="62">
        <v>3437864</v>
      </c>
      <c r="H545" s="63" t="s">
        <v>1517</v>
      </c>
      <c r="I545" s="64" t="e">
        <v>#N/A</v>
      </c>
    </row>
    <row r="546" spans="7:9">
      <c r="G546" s="62">
        <v>3437865</v>
      </c>
      <c r="H546" s="63" t="s">
        <v>1517</v>
      </c>
      <c r="I546" s="64" t="e">
        <v>#N/A</v>
      </c>
    </row>
    <row r="547" spans="7:9">
      <c r="G547" s="62">
        <v>3437866</v>
      </c>
      <c r="H547" s="63" t="s">
        <v>1518</v>
      </c>
      <c r="I547" s="64" t="e">
        <v>#N/A</v>
      </c>
    </row>
    <row r="548" spans="7:9">
      <c r="G548" s="62">
        <v>3437867</v>
      </c>
      <c r="H548" s="63" t="s">
        <v>1518</v>
      </c>
      <c r="I548" s="64" t="e">
        <v>#N/A</v>
      </c>
    </row>
    <row r="549" spans="7:9">
      <c r="G549" s="62">
        <v>3437868</v>
      </c>
      <c r="H549" s="63" t="s">
        <v>1518</v>
      </c>
      <c r="I549" s="64" t="e">
        <v>#N/A</v>
      </c>
    </row>
    <row r="550" spans="7:9">
      <c r="G550" s="62">
        <v>3437869</v>
      </c>
      <c r="H550" s="63" t="s">
        <v>1519</v>
      </c>
      <c r="I550" s="64" t="e">
        <v>#N/A</v>
      </c>
    </row>
    <row r="551" spans="7:9">
      <c r="G551" s="62">
        <v>3437870</v>
      </c>
      <c r="H551" s="63" t="s">
        <v>1519</v>
      </c>
      <c r="I551" s="64" t="e">
        <v>#N/A</v>
      </c>
    </row>
    <row r="552" spans="7:9">
      <c r="G552" s="62">
        <v>3437871</v>
      </c>
      <c r="H552" s="63" t="s">
        <v>1519</v>
      </c>
      <c r="I552" s="64" t="e">
        <v>#N/A</v>
      </c>
    </row>
    <row r="553" spans="7:9">
      <c r="G553" s="62">
        <v>3437872</v>
      </c>
      <c r="H553" s="63" t="s">
        <v>1520</v>
      </c>
      <c r="I553" s="64" t="e">
        <v>#N/A</v>
      </c>
    </row>
    <row r="554" spans="7:9">
      <c r="G554" s="62">
        <v>3437873</v>
      </c>
      <c r="H554" s="63" t="s">
        <v>1520</v>
      </c>
      <c r="I554" s="64" t="e">
        <v>#N/A</v>
      </c>
    </row>
    <row r="555" spans="7:9">
      <c r="G555" s="62">
        <v>3437874</v>
      </c>
      <c r="H555" s="63" t="s">
        <v>1520</v>
      </c>
      <c r="I555" s="64" t="e">
        <v>#N/A</v>
      </c>
    </row>
    <row r="556" spans="7:9">
      <c r="G556" s="62">
        <v>3437875</v>
      </c>
      <c r="H556" s="63" t="s">
        <v>1134</v>
      </c>
      <c r="I556" s="64" t="s">
        <v>1135</v>
      </c>
    </row>
    <row r="557" spans="7:9">
      <c r="G557" s="62">
        <v>3437876</v>
      </c>
      <c r="H557" s="63" t="s">
        <v>1375</v>
      </c>
      <c r="I557" s="64" t="e">
        <v>#N/A</v>
      </c>
    </row>
    <row r="558" spans="7:9">
      <c r="G558" s="62">
        <v>3437877</v>
      </c>
      <c r="H558" s="63" t="s">
        <v>1375</v>
      </c>
      <c r="I558" s="64" t="e">
        <v>#N/A</v>
      </c>
    </row>
    <row r="559" spans="7:9">
      <c r="G559" s="62">
        <v>3437878</v>
      </c>
      <c r="H559" s="63" t="s">
        <v>1375</v>
      </c>
      <c r="I559" s="64" t="e">
        <v>#N/A</v>
      </c>
    </row>
    <row r="560" spans="7:9">
      <c r="G560" s="62">
        <v>3437879</v>
      </c>
      <c r="H560" s="63" t="s">
        <v>1375</v>
      </c>
      <c r="I560" s="64" t="e">
        <v>#N/A</v>
      </c>
    </row>
    <row r="561" spans="7:9">
      <c r="G561" s="62">
        <v>3437880</v>
      </c>
      <c r="H561" s="63" t="s">
        <v>1375</v>
      </c>
      <c r="I561" s="64" t="e">
        <v>#N/A</v>
      </c>
    </row>
    <row r="562" spans="7:9">
      <c r="G562" s="62">
        <v>3437881</v>
      </c>
      <c r="H562" s="63" t="s">
        <v>1375</v>
      </c>
      <c r="I562" s="64" t="e">
        <v>#N/A</v>
      </c>
    </row>
    <row r="563" spans="7:9">
      <c r="G563" s="62">
        <v>3437882</v>
      </c>
      <c r="H563" s="63" t="s">
        <v>1521</v>
      </c>
      <c r="I563" s="64" t="e">
        <v>#N/A</v>
      </c>
    </row>
    <row r="564" spans="7:9">
      <c r="G564" s="62">
        <v>3437883</v>
      </c>
      <c r="H564" s="63" t="s">
        <v>1521</v>
      </c>
      <c r="I564" s="64" t="e">
        <v>#N/A</v>
      </c>
    </row>
    <row r="565" spans="7:9">
      <c r="G565" s="62">
        <v>3437884</v>
      </c>
      <c r="H565" s="63" t="s">
        <v>1375</v>
      </c>
      <c r="I565" s="64" t="e">
        <v>#N/A</v>
      </c>
    </row>
    <row r="566" spans="7:9">
      <c r="G566" s="62">
        <v>3437885</v>
      </c>
      <c r="H566" s="63" t="s">
        <v>1375</v>
      </c>
      <c r="I566" s="64" t="e">
        <v>#N/A</v>
      </c>
    </row>
    <row r="567" spans="7:9">
      <c r="G567" s="62">
        <v>3437937</v>
      </c>
      <c r="H567" s="63" t="s">
        <v>1397</v>
      </c>
      <c r="I567" s="64" t="e">
        <v>#N/A</v>
      </c>
    </row>
    <row r="568" spans="7:9">
      <c r="G568" s="62">
        <v>3437938</v>
      </c>
      <c r="H568" s="63" t="s">
        <v>1397</v>
      </c>
      <c r="I568" s="64" t="e">
        <v>#N/A</v>
      </c>
    </row>
    <row r="569" spans="7:9">
      <c r="G569" s="62">
        <v>3437939</v>
      </c>
      <c r="H569" s="63" t="s">
        <v>1398</v>
      </c>
      <c r="I569" s="64" t="e">
        <v>#N/A</v>
      </c>
    </row>
    <row r="570" spans="7:9">
      <c r="G570" s="62">
        <v>3437940</v>
      </c>
      <c r="H570" s="63" t="s">
        <v>1398</v>
      </c>
      <c r="I570" s="64" t="e">
        <v>#N/A</v>
      </c>
    </row>
    <row r="571" spans="7:9">
      <c r="G571" s="62">
        <v>3437941</v>
      </c>
      <c r="H571" s="63" t="s">
        <v>1398</v>
      </c>
      <c r="I571" s="64" t="e">
        <v>#N/A</v>
      </c>
    </row>
    <row r="572" spans="7:9">
      <c r="G572" s="62">
        <v>3437942</v>
      </c>
      <c r="H572" s="63" t="s">
        <v>1398</v>
      </c>
      <c r="I572" s="64" t="e">
        <v>#N/A</v>
      </c>
    </row>
    <row r="573" spans="7:9">
      <c r="G573" s="62">
        <v>3437943</v>
      </c>
      <c r="H573" s="63" t="s">
        <v>1421</v>
      </c>
      <c r="I573" s="64" t="s">
        <v>1143</v>
      </c>
    </row>
    <row r="574" spans="7:9">
      <c r="G574" s="62">
        <v>3434333</v>
      </c>
      <c r="H574" s="63" t="s">
        <v>1522</v>
      </c>
      <c r="I574" s="64" t="s">
        <v>1374</v>
      </c>
    </row>
    <row r="575" spans="7:9">
      <c r="G575" s="62">
        <v>3434334</v>
      </c>
      <c r="H575" s="63" t="s">
        <v>1522</v>
      </c>
      <c r="I575" s="64" t="s">
        <v>1349</v>
      </c>
    </row>
    <row r="576" spans="7:9">
      <c r="G576" s="62">
        <v>3434335</v>
      </c>
      <c r="H576" s="63" t="s">
        <v>1522</v>
      </c>
      <c r="I576" s="64" t="s">
        <v>1349</v>
      </c>
    </row>
    <row r="577" spans="7:9">
      <c r="G577" s="62">
        <v>3434336</v>
      </c>
      <c r="H577" s="63" t="s">
        <v>1522</v>
      </c>
      <c r="I577" s="64" t="s">
        <v>1374</v>
      </c>
    </row>
    <row r="578" spans="7:9">
      <c r="G578" s="62">
        <v>3434337</v>
      </c>
      <c r="H578" s="63" t="s">
        <v>1522</v>
      </c>
      <c r="I578" s="64" t="s">
        <v>1374</v>
      </c>
    </row>
    <row r="579" spans="7:9">
      <c r="G579" s="62">
        <v>3434338</v>
      </c>
      <c r="H579" s="63" t="s">
        <v>1522</v>
      </c>
      <c r="I579" s="64" t="s">
        <v>1374</v>
      </c>
    </row>
    <row r="580" spans="7:9">
      <c r="G580" s="62" t="s">
        <v>1523</v>
      </c>
      <c r="H580" s="63" t="s">
        <v>1524</v>
      </c>
      <c r="I580" s="64" t="e">
        <v>#N/A</v>
      </c>
    </row>
    <row r="581" spans="7:9">
      <c r="G581" s="62">
        <v>3437944</v>
      </c>
      <c r="H581" s="63" t="s">
        <v>1432</v>
      </c>
      <c r="I581" s="64" t="s">
        <v>1236</v>
      </c>
    </row>
    <row r="582" spans="7:9">
      <c r="G582" s="62" t="s">
        <v>1525</v>
      </c>
      <c r="H582" s="63" t="s">
        <v>1460</v>
      </c>
      <c r="I582" s="64" t="e">
        <v>#N/A</v>
      </c>
    </row>
    <row r="583" spans="7:9">
      <c r="G583" s="62" t="s">
        <v>1526</v>
      </c>
      <c r="H583" s="63" t="s">
        <v>1460</v>
      </c>
      <c r="I583" s="64" t="e">
        <v>#N/A</v>
      </c>
    </row>
    <row r="584" spans="7:9">
      <c r="G584" s="62" t="s">
        <v>1527</v>
      </c>
      <c r="H584" s="63" t="s">
        <v>1460</v>
      </c>
      <c r="I584" s="64" t="e">
        <v>#N/A</v>
      </c>
    </row>
    <row r="585" spans="7:9">
      <c r="G585" s="62" t="s">
        <v>1528</v>
      </c>
      <c r="H585" s="63" t="s">
        <v>1460</v>
      </c>
      <c r="I585" s="64" t="e">
        <v>#N/A</v>
      </c>
    </row>
    <row r="586" spans="7:9">
      <c r="G586" s="62">
        <v>3437945</v>
      </c>
      <c r="H586" s="63" t="s">
        <v>1455</v>
      </c>
      <c r="I586" s="64" t="e">
        <v>#N/A</v>
      </c>
    </row>
    <row r="587" spans="7:9">
      <c r="G587" s="62">
        <v>3437946</v>
      </c>
      <c r="H587" s="63" t="s">
        <v>1455</v>
      </c>
      <c r="I587" s="64" t="e">
        <v>#N/A</v>
      </c>
    </row>
    <row r="588" spans="7:9">
      <c r="G588" s="62" t="s">
        <v>1529</v>
      </c>
      <c r="H588" s="63" t="s">
        <v>1530</v>
      </c>
      <c r="I588" s="64" t="e">
        <v>#N/A</v>
      </c>
    </row>
    <row r="589" spans="7:9">
      <c r="G589" s="62" t="s">
        <v>1531</v>
      </c>
      <c r="H589" s="63" t="s">
        <v>1532</v>
      </c>
      <c r="I589" s="64" t="e">
        <v>#N/A</v>
      </c>
    </row>
    <row r="590" spans="7:9">
      <c r="G590" s="62">
        <v>3437947</v>
      </c>
      <c r="H590" s="63" t="s">
        <v>1533</v>
      </c>
      <c r="I590" s="64" t="e">
        <v>#N/A</v>
      </c>
    </row>
    <row r="591" spans="7:9">
      <c r="G591" s="62">
        <v>3437948</v>
      </c>
      <c r="H591" s="63" t="s">
        <v>1534</v>
      </c>
      <c r="I591" s="64" t="e">
        <v>#N/A</v>
      </c>
    </row>
    <row r="592" spans="7:9">
      <c r="G592" s="62">
        <v>3437949</v>
      </c>
      <c r="H592" s="63" t="s">
        <v>1535</v>
      </c>
      <c r="I592" s="64" t="e">
        <v>#N/A</v>
      </c>
    </row>
    <row r="593" spans="7:9">
      <c r="G593" s="62" t="s">
        <v>1536</v>
      </c>
      <c r="H593" s="63" t="s">
        <v>1537</v>
      </c>
      <c r="I593" s="64" t="e">
        <v>#N/A</v>
      </c>
    </row>
    <row r="594" spans="7:9">
      <c r="G594" s="62" t="s">
        <v>1538</v>
      </c>
      <c r="H594" s="63" t="s">
        <v>1539</v>
      </c>
      <c r="I594" s="64" t="e">
        <v>#N/A</v>
      </c>
    </row>
    <row r="595" spans="7:9">
      <c r="G595" s="62" t="s">
        <v>1540</v>
      </c>
      <c r="H595" s="63" t="s">
        <v>1541</v>
      </c>
      <c r="I595" s="64" t="e">
        <v>#N/A</v>
      </c>
    </row>
    <row r="596" spans="7:9">
      <c r="G596" s="62" t="s">
        <v>1542</v>
      </c>
      <c r="H596" s="63" t="s">
        <v>1541</v>
      </c>
      <c r="I596" s="64" t="e">
        <v>#N/A</v>
      </c>
    </row>
    <row r="597" spans="7:9">
      <c r="G597" s="62" t="s">
        <v>1543</v>
      </c>
      <c r="H597" s="63" t="s">
        <v>1544</v>
      </c>
      <c r="I597" s="64" t="e">
        <v>#N/A</v>
      </c>
    </row>
    <row r="598" spans="7:9">
      <c r="G598" s="62" t="s">
        <v>1545</v>
      </c>
      <c r="H598" s="63" t="s">
        <v>1544</v>
      </c>
      <c r="I598" s="64" t="e">
        <v>#N/A</v>
      </c>
    </row>
    <row r="599" spans="7:9">
      <c r="G599" s="62" t="s">
        <v>1546</v>
      </c>
      <c r="H599" s="63" t="s">
        <v>1547</v>
      </c>
      <c r="I599" s="64" t="e">
        <v>#N/A</v>
      </c>
    </row>
    <row r="600" spans="7:9">
      <c r="G600" s="62" t="s">
        <v>1548</v>
      </c>
      <c r="H600" s="63" t="s">
        <v>1549</v>
      </c>
      <c r="I600" s="64" t="e">
        <v>#N/A</v>
      </c>
    </row>
    <row r="601" spans="7:9">
      <c r="G601" s="62" t="s">
        <v>1550</v>
      </c>
      <c r="H601" s="63" t="s">
        <v>1549</v>
      </c>
      <c r="I601" s="64" t="e">
        <v>#N/A</v>
      </c>
    </row>
    <row r="602" spans="7:9">
      <c r="G602" s="62" t="s">
        <v>1551</v>
      </c>
      <c r="H602" s="63" t="s">
        <v>1552</v>
      </c>
      <c r="I602" s="64" t="s">
        <v>1143</v>
      </c>
    </row>
    <row r="603" spans="7:9">
      <c r="G603" s="62" t="s">
        <v>1553</v>
      </c>
      <c r="H603" s="63" t="s">
        <v>1554</v>
      </c>
      <c r="I603" s="64" t="s">
        <v>1143</v>
      </c>
    </row>
    <row r="604" spans="7:9">
      <c r="G604" s="62" t="s">
        <v>1555</v>
      </c>
      <c r="H604" s="63" t="s">
        <v>1554</v>
      </c>
      <c r="I604" s="64" t="s">
        <v>1143</v>
      </c>
    </row>
    <row r="605" spans="7:9">
      <c r="G605" s="62">
        <v>3437950</v>
      </c>
      <c r="H605" s="63" t="s">
        <v>1556</v>
      </c>
      <c r="I605" s="64" t="s">
        <v>1143</v>
      </c>
    </row>
    <row r="606" spans="7:9">
      <c r="G606" s="62">
        <v>3437951</v>
      </c>
      <c r="H606" s="63" t="s">
        <v>1557</v>
      </c>
      <c r="I606" s="64" t="s">
        <v>1143</v>
      </c>
    </row>
    <row r="607" spans="7:9">
      <c r="G607" s="62">
        <v>3437952</v>
      </c>
      <c r="H607" s="63" t="s">
        <v>1558</v>
      </c>
      <c r="I607" s="64" t="s">
        <v>1143</v>
      </c>
    </row>
    <row r="608" spans="7:9">
      <c r="G608" s="62" t="s">
        <v>1559</v>
      </c>
      <c r="H608" s="63" t="s">
        <v>1560</v>
      </c>
      <c r="I608" s="64" t="e">
        <v>#N/A</v>
      </c>
    </row>
    <row r="609" spans="7:9">
      <c r="G609" s="62" t="s">
        <v>1561</v>
      </c>
      <c r="H609" s="63" t="s">
        <v>1560</v>
      </c>
      <c r="I609" s="64" t="e">
        <v>#N/A</v>
      </c>
    </row>
  </sheetData>
  <autoFilter ref="G1:I609" xr:uid="{E2EE6C01-4EED-43D1-9536-EFD13E592C03}"/>
  <pageMargins left="0.7" right="0.7" top="0.75" bottom="0.75" header="0.3" footer="0.3"/>
  <headerFooter>
    <oddFooter>&amp;L_x000D_&amp;1#&amp;"Calibri"&amp;10&amp;K000000 Uso Interno: Sólo los empleados o personal externo debidamente autorizado tienen acceso.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7849-E0EC-463D-AD8C-DE6DD6185085}">
  <sheetPr codeName="Hoja6"/>
  <dimension ref="A3:B55"/>
  <sheetViews>
    <sheetView topLeftCell="A40" workbookViewId="0">
      <selection activeCell="A22" sqref="A22"/>
    </sheetView>
  </sheetViews>
  <sheetFormatPr defaultColWidth="8.7109375" defaultRowHeight="14.45"/>
  <cols>
    <col min="1" max="1" width="28.85546875" bestFit="1" customWidth="1"/>
    <col min="2" max="2" width="30.85546875" bestFit="1" customWidth="1"/>
  </cols>
  <sheetData>
    <row r="3" spans="1:2">
      <c r="A3" s="2" t="s">
        <v>1562</v>
      </c>
      <c r="B3" t="s">
        <v>1563</v>
      </c>
    </row>
    <row r="4" spans="1:2">
      <c r="A4" s="3" t="s">
        <v>84</v>
      </c>
      <c r="B4">
        <v>76</v>
      </c>
    </row>
    <row r="5" spans="1:2">
      <c r="A5" s="16" t="s">
        <v>1189</v>
      </c>
      <c r="B5">
        <v>1</v>
      </c>
    </row>
    <row r="6" spans="1:2">
      <c r="A6" s="16" t="s">
        <v>1212</v>
      </c>
      <c r="B6">
        <v>1</v>
      </c>
    </row>
    <row r="7" spans="1:2">
      <c r="A7" s="16" t="s">
        <v>1175</v>
      </c>
      <c r="B7">
        <v>2</v>
      </c>
    </row>
    <row r="8" spans="1:2">
      <c r="A8" s="16" t="s">
        <v>1201</v>
      </c>
      <c r="B8">
        <v>3</v>
      </c>
    </row>
    <row r="9" spans="1:2">
      <c r="A9" s="16" t="s">
        <v>1176</v>
      </c>
      <c r="B9">
        <v>2</v>
      </c>
    </row>
    <row r="10" spans="1:2">
      <c r="A10" s="16" t="s">
        <v>1202</v>
      </c>
      <c r="B10">
        <v>2</v>
      </c>
    </row>
    <row r="11" spans="1:2">
      <c r="A11" s="16" t="s">
        <v>1173</v>
      </c>
      <c r="B11">
        <v>3</v>
      </c>
    </row>
    <row r="12" spans="1:2">
      <c r="A12" s="16" t="s">
        <v>1198</v>
      </c>
      <c r="B12">
        <v>2</v>
      </c>
    </row>
    <row r="13" spans="1:2">
      <c r="A13" s="16" t="s">
        <v>1168</v>
      </c>
      <c r="B13">
        <v>11</v>
      </c>
    </row>
    <row r="14" spans="1:2">
      <c r="A14" s="16" t="s">
        <v>1193</v>
      </c>
      <c r="B14">
        <v>17</v>
      </c>
    </row>
    <row r="15" spans="1:2">
      <c r="A15" s="16" t="s">
        <v>1171</v>
      </c>
      <c r="B15">
        <v>13</v>
      </c>
    </row>
    <row r="16" spans="1:2">
      <c r="A16" s="16" t="s">
        <v>1196</v>
      </c>
      <c r="B16">
        <v>8</v>
      </c>
    </row>
    <row r="17" spans="1:2">
      <c r="A17" s="16" t="s">
        <v>1177</v>
      </c>
      <c r="B17">
        <v>3</v>
      </c>
    </row>
    <row r="18" spans="1:2">
      <c r="A18" s="16" t="s">
        <v>1203</v>
      </c>
      <c r="B18">
        <v>3</v>
      </c>
    </row>
    <row r="19" spans="1:2">
      <c r="A19" s="16" t="s">
        <v>1227</v>
      </c>
      <c r="B19">
        <v>1</v>
      </c>
    </row>
    <row r="20" spans="1:2">
      <c r="A20" s="16" t="s">
        <v>1170</v>
      </c>
      <c r="B20">
        <v>2</v>
      </c>
    </row>
    <row r="21" spans="1:2">
      <c r="A21" s="16" t="s">
        <v>1194</v>
      </c>
      <c r="B21">
        <v>2</v>
      </c>
    </row>
    <row r="22" spans="1:2">
      <c r="A22" s="3" t="s">
        <v>86</v>
      </c>
      <c r="B22">
        <v>90</v>
      </c>
    </row>
    <row r="23" spans="1:2">
      <c r="A23" s="16" t="s">
        <v>1161</v>
      </c>
      <c r="B23">
        <v>10</v>
      </c>
    </row>
    <row r="24" spans="1:2">
      <c r="A24" s="16" t="s">
        <v>1164</v>
      </c>
      <c r="B24">
        <v>3</v>
      </c>
    </row>
    <row r="25" spans="1:2">
      <c r="A25" s="16" t="s">
        <v>1120</v>
      </c>
      <c r="B25">
        <v>18</v>
      </c>
    </row>
    <row r="26" spans="1:2">
      <c r="A26" s="16" t="s">
        <v>1129</v>
      </c>
      <c r="B26">
        <v>9</v>
      </c>
    </row>
    <row r="27" spans="1:2">
      <c r="A27" s="16" t="s">
        <v>1127</v>
      </c>
      <c r="B27">
        <v>12</v>
      </c>
    </row>
    <row r="28" spans="1:2">
      <c r="A28" s="16" t="s">
        <v>1132</v>
      </c>
      <c r="B28">
        <v>14</v>
      </c>
    </row>
    <row r="29" spans="1:2">
      <c r="A29" s="16" t="s">
        <v>1133</v>
      </c>
      <c r="B29">
        <v>13</v>
      </c>
    </row>
    <row r="30" spans="1:2">
      <c r="A30" s="16" t="s">
        <v>1151</v>
      </c>
      <c r="B30">
        <v>6</v>
      </c>
    </row>
    <row r="31" spans="1:2">
      <c r="A31" s="16" t="s">
        <v>1148</v>
      </c>
      <c r="B31">
        <v>1</v>
      </c>
    </row>
    <row r="32" spans="1:2">
      <c r="A32" s="16" t="s">
        <v>1136</v>
      </c>
      <c r="B32">
        <v>4</v>
      </c>
    </row>
    <row r="33" spans="1:2">
      <c r="A33" s="3" t="s">
        <v>73</v>
      </c>
      <c r="B33">
        <v>53</v>
      </c>
    </row>
    <row r="34" spans="1:2">
      <c r="A34" s="16" t="s">
        <v>1149</v>
      </c>
      <c r="B34">
        <v>5</v>
      </c>
    </row>
    <row r="35" spans="1:2">
      <c r="A35" s="16" t="s">
        <v>1144</v>
      </c>
      <c r="B35">
        <v>9</v>
      </c>
    </row>
    <row r="36" spans="1:2">
      <c r="A36" s="16" t="s">
        <v>1150</v>
      </c>
      <c r="B36">
        <v>4</v>
      </c>
    </row>
    <row r="37" spans="1:2">
      <c r="A37" s="16" t="s">
        <v>1165</v>
      </c>
      <c r="B37">
        <v>1</v>
      </c>
    </row>
    <row r="38" spans="1:2">
      <c r="A38" s="16" t="s">
        <v>1140</v>
      </c>
      <c r="B38">
        <v>4</v>
      </c>
    </row>
    <row r="39" spans="1:2">
      <c r="A39" s="16" t="s">
        <v>959</v>
      </c>
      <c r="B39">
        <v>8</v>
      </c>
    </row>
    <row r="40" spans="1:2">
      <c r="A40" s="16" t="s">
        <v>1137</v>
      </c>
      <c r="B40">
        <v>10</v>
      </c>
    </row>
    <row r="41" spans="1:2">
      <c r="A41" s="16" t="s">
        <v>1147</v>
      </c>
      <c r="B41">
        <v>7</v>
      </c>
    </row>
    <row r="42" spans="1:2">
      <c r="A42" s="16" t="s">
        <v>1153</v>
      </c>
      <c r="B42">
        <v>1</v>
      </c>
    </row>
    <row r="43" spans="1:2">
      <c r="A43" s="16" t="s">
        <v>1148</v>
      </c>
      <c r="B43">
        <v>4</v>
      </c>
    </row>
    <row r="44" spans="1:2">
      <c r="A44" s="3" t="s">
        <v>80</v>
      </c>
      <c r="B44">
        <v>13</v>
      </c>
    </row>
    <row r="45" spans="1:2">
      <c r="A45" s="16" t="s">
        <v>1126</v>
      </c>
      <c r="B45">
        <v>5</v>
      </c>
    </row>
    <row r="46" spans="1:2">
      <c r="A46" s="16" t="s">
        <v>1124</v>
      </c>
      <c r="B46">
        <v>7</v>
      </c>
    </row>
    <row r="47" spans="1:2">
      <c r="A47" s="16" t="s">
        <v>1252</v>
      </c>
      <c r="B47">
        <v>1</v>
      </c>
    </row>
    <row r="48" spans="1:2">
      <c r="A48" s="3" t="s">
        <v>624</v>
      </c>
      <c r="B48">
        <v>6</v>
      </c>
    </row>
    <row r="49" spans="1:2">
      <c r="A49" s="16" t="s">
        <v>1237</v>
      </c>
      <c r="B49">
        <v>3</v>
      </c>
    </row>
    <row r="50" spans="1:2">
      <c r="A50" s="16" t="s">
        <v>1165</v>
      </c>
      <c r="B50">
        <v>3</v>
      </c>
    </row>
    <row r="51" spans="1:2">
      <c r="A51" s="3" t="s">
        <v>300</v>
      </c>
      <c r="B51">
        <v>18</v>
      </c>
    </row>
    <row r="52" spans="1:2">
      <c r="A52" s="16" t="s">
        <v>1234</v>
      </c>
      <c r="B52">
        <v>3</v>
      </c>
    </row>
    <row r="53" spans="1:2">
      <c r="A53" s="16" t="s">
        <v>1232</v>
      </c>
      <c r="B53">
        <v>12</v>
      </c>
    </row>
    <row r="54" spans="1:2">
      <c r="A54" s="16" t="s">
        <v>1238</v>
      </c>
      <c r="B54">
        <v>3</v>
      </c>
    </row>
    <row r="55" spans="1:2">
      <c r="A55" s="3" t="s">
        <v>1564</v>
      </c>
      <c r="B55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D9D9-4A7E-4033-916C-89406D835F52}">
  <sheetPr codeName="Hoja4"/>
  <dimension ref="A1:F357"/>
  <sheetViews>
    <sheetView workbookViewId="0">
      <selection activeCell="D11" sqref="D11"/>
    </sheetView>
  </sheetViews>
  <sheetFormatPr defaultColWidth="8.7109375" defaultRowHeight="14.45"/>
  <cols>
    <col min="1" max="1" width="37.28515625" bestFit="1" customWidth="1"/>
    <col min="2" max="2" width="24.140625" style="1" bestFit="1" customWidth="1"/>
    <col min="3" max="3" width="19.7109375" style="1" bestFit="1" customWidth="1"/>
    <col min="4" max="4" width="10.42578125" style="1" bestFit="1" customWidth="1"/>
    <col min="5" max="5" width="12" style="1" bestFit="1" customWidth="1"/>
    <col min="6" max="6" width="3.42578125" style="1" bestFit="1" customWidth="1"/>
    <col min="7" max="7" width="11.140625" bestFit="1" customWidth="1"/>
    <col min="8" max="8" width="12.5703125" bestFit="1" customWidth="1"/>
  </cols>
  <sheetData>
    <row r="1" spans="1:6">
      <c r="A1" s="2" t="s">
        <v>21</v>
      </c>
      <c r="B1" t="s">
        <v>1565</v>
      </c>
      <c r="C1"/>
      <c r="D1"/>
      <c r="E1"/>
      <c r="F1"/>
    </row>
    <row r="2" spans="1:6">
      <c r="B2"/>
      <c r="C2"/>
      <c r="D2"/>
      <c r="E2"/>
      <c r="F2"/>
    </row>
    <row r="3" spans="1:6">
      <c r="A3" s="2" t="s">
        <v>1566</v>
      </c>
      <c r="B3" s="4" t="s">
        <v>1567</v>
      </c>
      <c r="F3"/>
    </row>
    <row r="4" spans="1:6">
      <c r="A4" s="2" t="s">
        <v>1562</v>
      </c>
      <c r="B4" s="1" t="s">
        <v>50</v>
      </c>
      <c r="C4" s="1" t="s">
        <v>294</v>
      </c>
      <c r="D4" s="1" t="s">
        <v>1028</v>
      </c>
      <c r="E4" s="1" t="s">
        <v>1564</v>
      </c>
      <c r="F4"/>
    </row>
    <row r="5" spans="1:6">
      <c r="A5" s="3" t="s">
        <v>635</v>
      </c>
      <c r="B5" s="1">
        <v>18</v>
      </c>
      <c r="E5" s="1">
        <v>18</v>
      </c>
      <c r="F5"/>
    </row>
    <row r="6" spans="1:6">
      <c r="A6" s="16" t="s">
        <v>660</v>
      </c>
      <c r="B6" s="1">
        <v>1</v>
      </c>
      <c r="E6" s="1">
        <v>1</v>
      </c>
      <c r="F6"/>
    </row>
    <row r="7" spans="1:6">
      <c r="A7" s="16" t="s">
        <v>648</v>
      </c>
      <c r="B7" s="1">
        <v>1</v>
      </c>
      <c r="E7" s="1">
        <v>1</v>
      </c>
      <c r="F7"/>
    </row>
    <row r="8" spans="1:6">
      <c r="A8" s="16" t="s">
        <v>656</v>
      </c>
      <c r="B8" s="1">
        <v>1</v>
      </c>
      <c r="E8" s="1">
        <v>1</v>
      </c>
      <c r="F8"/>
    </row>
    <row r="9" spans="1:6">
      <c r="A9" s="16" t="s">
        <v>638</v>
      </c>
      <c r="B9" s="1">
        <v>1</v>
      </c>
      <c r="E9" s="1">
        <v>1</v>
      </c>
      <c r="F9"/>
    </row>
    <row r="10" spans="1:6">
      <c r="A10" s="16" t="s">
        <v>664</v>
      </c>
      <c r="B10" s="1">
        <v>1</v>
      </c>
      <c r="E10" s="1">
        <v>1</v>
      </c>
      <c r="F10"/>
    </row>
    <row r="11" spans="1:6">
      <c r="A11" s="16" t="s">
        <v>640</v>
      </c>
      <c r="B11" s="1">
        <v>1</v>
      </c>
      <c r="E11" s="1">
        <v>1</v>
      </c>
      <c r="F11"/>
    </row>
    <row r="12" spans="1:6">
      <c r="A12" s="16" t="s">
        <v>703</v>
      </c>
      <c r="B12" s="1">
        <v>1</v>
      </c>
      <c r="E12" s="1">
        <v>1</v>
      </c>
      <c r="F12"/>
    </row>
    <row r="13" spans="1:6">
      <c r="A13" s="16" t="s">
        <v>646</v>
      </c>
      <c r="B13" s="1">
        <v>1</v>
      </c>
      <c r="E13" s="1">
        <v>1</v>
      </c>
      <c r="F13"/>
    </row>
    <row r="14" spans="1:6">
      <c r="A14" s="16" t="s">
        <v>669</v>
      </c>
      <c r="B14" s="1">
        <v>1</v>
      </c>
      <c r="E14" s="1">
        <v>1</v>
      </c>
      <c r="F14"/>
    </row>
    <row r="15" spans="1:6">
      <c r="A15" s="16" t="s">
        <v>658</v>
      </c>
      <c r="B15" s="1">
        <v>1</v>
      </c>
      <c r="E15" s="1">
        <v>1</v>
      </c>
      <c r="F15"/>
    </row>
    <row r="16" spans="1:6">
      <c r="A16" s="16" t="s">
        <v>650</v>
      </c>
      <c r="B16" s="1">
        <v>1</v>
      </c>
      <c r="E16" s="1">
        <v>1</v>
      </c>
      <c r="F16"/>
    </row>
    <row r="17" spans="1:6">
      <c r="A17" s="16" t="s">
        <v>654</v>
      </c>
      <c r="B17" s="1">
        <v>1</v>
      </c>
      <c r="E17" s="1">
        <v>1</v>
      </c>
      <c r="F17"/>
    </row>
    <row r="18" spans="1:6">
      <c r="A18" s="16" t="s">
        <v>652</v>
      </c>
      <c r="B18" s="1">
        <v>1</v>
      </c>
      <c r="E18" s="1">
        <v>1</v>
      </c>
      <c r="F18"/>
    </row>
    <row r="19" spans="1:6">
      <c r="A19" s="16" t="s">
        <v>662</v>
      </c>
      <c r="B19" s="1">
        <v>1</v>
      </c>
      <c r="E19" s="1">
        <v>1</v>
      </c>
      <c r="F19"/>
    </row>
    <row r="20" spans="1:6">
      <c r="A20" s="16" t="s">
        <v>644</v>
      </c>
      <c r="B20" s="1">
        <v>1</v>
      </c>
      <c r="E20" s="1">
        <v>1</v>
      </c>
      <c r="F20"/>
    </row>
    <row r="21" spans="1:6">
      <c r="A21" s="16" t="s">
        <v>642</v>
      </c>
      <c r="B21" s="1">
        <v>1</v>
      </c>
      <c r="E21" s="1">
        <v>1</v>
      </c>
      <c r="F21"/>
    </row>
    <row r="22" spans="1:6">
      <c r="A22" s="16" t="s">
        <v>666</v>
      </c>
      <c r="B22" s="1">
        <v>1</v>
      </c>
      <c r="E22" s="1">
        <v>1</v>
      </c>
      <c r="F22"/>
    </row>
    <row r="23" spans="1:6">
      <c r="A23" s="16" t="s">
        <v>636</v>
      </c>
      <c r="B23" s="1">
        <v>1</v>
      </c>
      <c r="E23" s="1">
        <v>1</v>
      </c>
      <c r="F23"/>
    </row>
    <row r="24" spans="1:6">
      <c r="A24" s="3" t="s">
        <v>683</v>
      </c>
      <c r="B24" s="1">
        <v>7</v>
      </c>
      <c r="E24" s="1">
        <v>7</v>
      </c>
      <c r="F24"/>
    </row>
    <row r="25" spans="1:6">
      <c r="A25" s="16" t="s">
        <v>693</v>
      </c>
      <c r="B25" s="1">
        <v>1</v>
      </c>
      <c r="E25" s="1">
        <v>1</v>
      </c>
      <c r="F25"/>
    </row>
    <row r="26" spans="1:6">
      <c r="A26" s="16" t="s">
        <v>690</v>
      </c>
      <c r="B26" s="1">
        <v>1</v>
      </c>
      <c r="E26" s="1">
        <v>1</v>
      </c>
      <c r="F26"/>
    </row>
    <row r="27" spans="1:6">
      <c r="A27" s="16" t="s">
        <v>686</v>
      </c>
      <c r="B27" s="1">
        <v>1</v>
      </c>
      <c r="E27" s="1">
        <v>1</v>
      </c>
      <c r="F27"/>
    </row>
    <row r="28" spans="1:6">
      <c r="A28" s="16" t="s">
        <v>688</v>
      </c>
      <c r="B28" s="1">
        <v>1</v>
      </c>
      <c r="E28" s="1">
        <v>1</v>
      </c>
      <c r="F28"/>
    </row>
    <row r="29" spans="1:6">
      <c r="A29" s="16" t="s">
        <v>684</v>
      </c>
      <c r="B29" s="1">
        <v>1</v>
      </c>
      <c r="E29" s="1">
        <v>1</v>
      </c>
      <c r="F29"/>
    </row>
    <row r="30" spans="1:6">
      <c r="A30" s="16" t="s">
        <v>695</v>
      </c>
      <c r="B30" s="1">
        <v>1</v>
      </c>
      <c r="E30" s="1">
        <v>1</v>
      </c>
      <c r="F30"/>
    </row>
    <row r="31" spans="1:6">
      <c r="A31" s="16" t="s">
        <v>697</v>
      </c>
      <c r="B31" s="1">
        <v>1</v>
      </c>
      <c r="E31" s="1">
        <v>1</v>
      </c>
      <c r="F31"/>
    </row>
    <row r="32" spans="1:6">
      <c r="A32" s="16" t="s">
        <v>1106</v>
      </c>
      <c r="F32"/>
    </row>
    <row r="33" spans="1:6">
      <c r="A33" s="16" t="s">
        <v>939</v>
      </c>
      <c r="F33"/>
    </row>
    <row r="34" spans="1:6">
      <c r="A34" s="16" t="s">
        <v>941</v>
      </c>
      <c r="F34"/>
    </row>
    <row r="35" spans="1:6">
      <c r="A35" s="16" t="s">
        <v>943</v>
      </c>
      <c r="F35"/>
    </row>
    <row r="36" spans="1:6">
      <c r="A36" s="16" t="s">
        <v>945</v>
      </c>
      <c r="F36"/>
    </row>
    <row r="37" spans="1:6">
      <c r="A37" s="16" t="s">
        <v>947</v>
      </c>
      <c r="F37"/>
    </row>
    <row r="38" spans="1:6">
      <c r="A38" s="16" t="s">
        <v>949</v>
      </c>
      <c r="F38"/>
    </row>
    <row r="39" spans="1:6">
      <c r="A39" s="16" t="s">
        <v>951</v>
      </c>
      <c r="F39"/>
    </row>
    <row r="40" spans="1:6">
      <c r="A40" s="16" t="s">
        <v>954</v>
      </c>
      <c r="F40"/>
    </row>
    <row r="41" spans="1:6">
      <c r="A41" s="16" t="s">
        <v>1030</v>
      </c>
      <c r="F41"/>
    </row>
    <row r="42" spans="1:6">
      <c r="A42" s="16" t="s">
        <v>1032</v>
      </c>
      <c r="F42"/>
    </row>
    <row r="43" spans="1:6">
      <c r="A43" s="16" t="s">
        <v>1034</v>
      </c>
      <c r="F43"/>
    </row>
    <row r="44" spans="1:6">
      <c r="A44" s="16" t="s">
        <v>1036</v>
      </c>
      <c r="F44"/>
    </row>
    <row r="45" spans="1:6">
      <c r="A45" s="3" t="s">
        <v>671</v>
      </c>
      <c r="B45" s="1">
        <v>5</v>
      </c>
      <c r="E45" s="1">
        <v>5</v>
      </c>
      <c r="F45"/>
    </row>
    <row r="46" spans="1:6">
      <c r="A46" s="16" t="s">
        <v>680</v>
      </c>
      <c r="B46" s="1">
        <v>1</v>
      </c>
      <c r="E46" s="1">
        <v>1</v>
      </c>
      <c r="F46"/>
    </row>
    <row r="47" spans="1:6">
      <c r="A47" s="16" t="s">
        <v>1102</v>
      </c>
      <c r="B47" s="1">
        <v>1</v>
      </c>
      <c r="E47" s="1">
        <v>1</v>
      </c>
      <c r="F47"/>
    </row>
    <row r="48" spans="1:6">
      <c r="A48" s="16" t="s">
        <v>1104</v>
      </c>
      <c r="B48" s="1">
        <v>1</v>
      </c>
      <c r="E48" s="1">
        <v>1</v>
      </c>
      <c r="F48"/>
    </row>
    <row r="49" spans="1:6">
      <c r="A49" s="16" t="s">
        <v>674</v>
      </c>
      <c r="B49" s="1">
        <v>1</v>
      </c>
      <c r="E49" s="1">
        <v>1</v>
      </c>
      <c r="F49"/>
    </row>
    <row r="50" spans="1:6">
      <c r="A50" s="16" t="s">
        <v>678</v>
      </c>
      <c r="B50" s="1">
        <v>1</v>
      </c>
      <c r="E50" s="1">
        <v>1</v>
      </c>
      <c r="F50"/>
    </row>
    <row r="51" spans="1:6">
      <c r="A51" s="3" t="s">
        <v>521</v>
      </c>
      <c r="B51" s="1">
        <v>10</v>
      </c>
      <c r="E51" s="1">
        <v>10</v>
      </c>
      <c r="F51"/>
    </row>
    <row r="52" spans="1:6">
      <c r="A52" s="16" t="s">
        <v>528</v>
      </c>
      <c r="B52" s="1">
        <v>1</v>
      </c>
      <c r="E52" s="1">
        <v>1</v>
      </c>
      <c r="F52"/>
    </row>
    <row r="53" spans="1:6">
      <c r="A53" s="16" t="s">
        <v>543</v>
      </c>
      <c r="B53" s="1">
        <v>1</v>
      </c>
      <c r="E53" s="1">
        <v>1</v>
      </c>
      <c r="F53"/>
    </row>
    <row r="54" spans="1:6">
      <c r="A54" s="16" t="s">
        <v>553</v>
      </c>
      <c r="B54" s="1">
        <v>1</v>
      </c>
      <c r="E54" s="1">
        <v>1</v>
      </c>
      <c r="F54"/>
    </row>
    <row r="55" spans="1:6">
      <c r="A55" s="16" t="s">
        <v>522</v>
      </c>
      <c r="B55" s="1">
        <v>1</v>
      </c>
      <c r="E55" s="1">
        <v>1</v>
      </c>
      <c r="F55"/>
    </row>
    <row r="56" spans="1:6">
      <c r="A56" s="16" t="s">
        <v>534</v>
      </c>
      <c r="B56" s="1">
        <v>1</v>
      </c>
      <c r="E56" s="1">
        <v>1</v>
      </c>
      <c r="F56"/>
    </row>
    <row r="57" spans="1:6">
      <c r="A57" s="16" t="s">
        <v>555</v>
      </c>
      <c r="B57" s="1">
        <v>1</v>
      </c>
      <c r="E57" s="1">
        <v>1</v>
      </c>
      <c r="F57"/>
    </row>
    <row r="58" spans="1:6">
      <c r="A58" s="16" t="s">
        <v>541</v>
      </c>
      <c r="B58" s="1">
        <v>1</v>
      </c>
      <c r="E58" s="1">
        <v>1</v>
      </c>
      <c r="F58"/>
    </row>
    <row r="59" spans="1:6">
      <c r="A59" s="16" t="s">
        <v>539</v>
      </c>
      <c r="B59" s="1">
        <v>1</v>
      </c>
      <c r="E59" s="1">
        <v>1</v>
      </c>
      <c r="F59"/>
    </row>
    <row r="60" spans="1:6">
      <c r="A60" s="16" t="s">
        <v>545</v>
      </c>
      <c r="B60" s="1">
        <v>1</v>
      </c>
      <c r="E60" s="1">
        <v>1</v>
      </c>
      <c r="F60"/>
    </row>
    <row r="61" spans="1:6">
      <c r="A61" s="16" t="s">
        <v>547</v>
      </c>
      <c r="B61" s="1">
        <v>1</v>
      </c>
      <c r="E61" s="1">
        <v>1</v>
      </c>
      <c r="F61"/>
    </row>
    <row r="62" spans="1:6">
      <c r="A62" s="16" t="s">
        <v>551</v>
      </c>
      <c r="F62"/>
    </row>
    <row r="63" spans="1:6">
      <c r="A63" s="16" t="s">
        <v>929</v>
      </c>
      <c r="F63"/>
    </row>
    <row r="64" spans="1:6">
      <c r="A64" s="16" t="s">
        <v>973</v>
      </c>
      <c r="F64"/>
    </row>
    <row r="65" spans="1:6">
      <c r="A65" s="16" t="s">
        <v>975</v>
      </c>
      <c r="F65"/>
    </row>
    <row r="66" spans="1:6">
      <c r="A66" s="3" t="s">
        <v>514</v>
      </c>
      <c r="B66" s="1">
        <v>8</v>
      </c>
      <c r="E66" s="1">
        <v>8</v>
      </c>
      <c r="F66"/>
    </row>
    <row r="67" spans="1:6">
      <c r="A67" s="16" t="s">
        <v>519</v>
      </c>
      <c r="B67" s="1">
        <v>1</v>
      </c>
      <c r="E67" s="1">
        <v>1</v>
      </c>
      <c r="F67"/>
    </row>
    <row r="68" spans="1:6">
      <c r="A68" s="16" t="s">
        <v>532</v>
      </c>
      <c r="B68" s="1">
        <v>1</v>
      </c>
      <c r="E68" s="1">
        <v>1</v>
      </c>
      <c r="F68"/>
    </row>
    <row r="69" spans="1:6">
      <c r="A69" s="16" t="s">
        <v>515</v>
      </c>
      <c r="B69" s="1">
        <v>1</v>
      </c>
      <c r="E69" s="1">
        <v>1</v>
      </c>
      <c r="F69"/>
    </row>
    <row r="70" spans="1:6">
      <c r="A70" s="16" t="s">
        <v>549</v>
      </c>
      <c r="B70" s="1">
        <v>1</v>
      </c>
      <c r="E70" s="1">
        <v>1</v>
      </c>
      <c r="F70"/>
    </row>
    <row r="71" spans="1:6">
      <c r="A71" s="16" t="s">
        <v>581</v>
      </c>
      <c r="B71" s="1">
        <v>1</v>
      </c>
      <c r="E71" s="1">
        <v>1</v>
      </c>
      <c r="F71"/>
    </row>
    <row r="72" spans="1:6">
      <c r="A72" s="16" t="s">
        <v>526</v>
      </c>
      <c r="F72"/>
    </row>
    <row r="73" spans="1:6">
      <c r="A73" s="16" t="s">
        <v>524</v>
      </c>
      <c r="B73" s="1">
        <v>1</v>
      </c>
      <c r="E73" s="1">
        <v>1</v>
      </c>
      <c r="F73"/>
    </row>
    <row r="74" spans="1:6">
      <c r="A74" s="16" t="s">
        <v>517</v>
      </c>
      <c r="B74" s="1">
        <v>1</v>
      </c>
      <c r="E74" s="1">
        <v>1</v>
      </c>
      <c r="F74"/>
    </row>
    <row r="75" spans="1:6">
      <c r="A75" s="16" t="s">
        <v>530</v>
      </c>
      <c r="B75" s="1">
        <v>1</v>
      </c>
      <c r="E75" s="1">
        <v>1</v>
      </c>
      <c r="F75"/>
    </row>
    <row r="76" spans="1:6">
      <c r="A76" s="3" t="s">
        <v>276</v>
      </c>
      <c r="B76" s="1">
        <v>8</v>
      </c>
      <c r="E76" s="1">
        <v>8</v>
      </c>
      <c r="F76"/>
    </row>
    <row r="77" spans="1:6">
      <c r="A77" s="16" t="s">
        <v>277</v>
      </c>
      <c r="B77" s="1">
        <v>1</v>
      </c>
      <c r="E77" s="1">
        <v>1</v>
      </c>
      <c r="F77"/>
    </row>
    <row r="78" spans="1:6">
      <c r="A78" s="16" t="s">
        <v>589</v>
      </c>
      <c r="B78" s="1">
        <v>1</v>
      </c>
      <c r="E78" s="1">
        <v>1</v>
      </c>
      <c r="F78"/>
    </row>
    <row r="79" spans="1:6">
      <c r="A79" s="16" t="s">
        <v>593</v>
      </c>
      <c r="B79" s="1">
        <v>1</v>
      </c>
      <c r="E79" s="1">
        <v>1</v>
      </c>
      <c r="F79"/>
    </row>
    <row r="80" spans="1:6">
      <c r="A80" s="16" t="s">
        <v>599</v>
      </c>
      <c r="B80" s="1">
        <v>1</v>
      </c>
      <c r="E80" s="1">
        <v>1</v>
      </c>
      <c r="F80"/>
    </row>
    <row r="81" spans="1:6">
      <c r="A81" s="16" t="s">
        <v>859</v>
      </c>
      <c r="B81" s="1">
        <v>1</v>
      </c>
      <c r="E81" s="1">
        <v>1</v>
      </c>
      <c r="F81"/>
    </row>
    <row r="82" spans="1:6">
      <c r="A82" s="16" t="s">
        <v>601</v>
      </c>
      <c r="B82" s="1">
        <v>1</v>
      </c>
      <c r="E82" s="1">
        <v>1</v>
      </c>
      <c r="F82"/>
    </row>
    <row r="83" spans="1:6">
      <c r="A83" s="16" t="s">
        <v>603</v>
      </c>
      <c r="B83" s="1">
        <v>1</v>
      </c>
      <c r="E83" s="1">
        <v>1</v>
      </c>
      <c r="F83"/>
    </row>
    <row r="84" spans="1:6">
      <c r="A84" s="16" t="s">
        <v>861</v>
      </c>
      <c r="F84"/>
    </row>
    <row r="85" spans="1:6">
      <c r="A85" s="16" t="s">
        <v>865</v>
      </c>
      <c r="B85" s="1">
        <v>1</v>
      </c>
      <c r="E85" s="1">
        <v>1</v>
      </c>
      <c r="F85"/>
    </row>
    <row r="86" spans="1:6">
      <c r="A86" s="16" t="s">
        <v>585</v>
      </c>
      <c r="F86"/>
    </row>
    <row r="87" spans="1:6">
      <c r="A87" s="16" t="s">
        <v>591</v>
      </c>
      <c r="F87"/>
    </row>
    <row r="88" spans="1:6">
      <c r="A88" s="16" t="s">
        <v>595</v>
      </c>
      <c r="F88"/>
    </row>
    <row r="89" spans="1:6">
      <c r="A89" s="16" t="s">
        <v>597</v>
      </c>
      <c r="F89"/>
    </row>
    <row r="90" spans="1:6">
      <c r="A90" s="16" t="s">
        <v>863</v>
      </c>
      <c r="F90"/>
    </row>
    <row r="91" spans="1:6">
      <c r="A91" s="3" t="s">
        <v>536</v>
      </c>
      <c r="B91" s="1">
        <v>13</v>
      </c>
      <c r="E91" s="1">
        <v>13</v>
      </c>
      <c r="F91"/>
    </row>
    <row r="92" spans="1:6">
      <c r="A92" s="16" t="s">
        <v>537</v>
      </c>
      <c r="B92" s="1">
        <v>1</v>
      </c>
      <c r="E92" s="1">
        <v>1</v>
      </c>
      <c r="F92"/>
    </row>
    <row r="93" spans="1:6">
      <c r="A93" s="16" t="s">
        <v>572</v>
      </c>
      <c r="B93" s="1">
        <v>1</v>
      </c>
      <c r="E93" s="1">
        <v>1</v>
      </c>
      <c r="F93"/>
    </row>
    <row r="94" spans="1:6">
      <c r="A94" s="16" t="s">
        <v>570</v>
      </c>
      <c r="B94" s="1">
        <v>1</v>
      </c>
      <c r="E94" s="1">
        <v>1</v>
      </c>
      <c r="F94"/>
    </row>
    <row r="95" spans="1:6">
      <c r="A95" s="16" t="s">
        <v>583</v>
      </c>
      <c r="B95" s="1">
        <v>1</v>
      </c>
      <c r="E95" s="1">
        <v>1</v>
      </c>
      <c r="F95"/>
    </row>
    <row r="96" spans="1:6">
      <c r="A96" s="16" t="s">
        <v>559</v>
      </c>
      <c r="B96" s="1">
        <v>1</v>
      </c>
      <c r="E96" s="1">
        <v>1</v>
      </c>
      <c r="F96"/>
    </row>
    <row r="97" spans="1:6">
      <c r="A97" s="16" t="s">
        <v>576</v>
      </c>
      <c r="B97" s="1">
        <v>1</v>
      </c>
      <c r="E97" s="1">
        <v>1</v>
      </c>
      <c r="F97"/>
    </row>
    <row r="98" spans="1:6">
      <c r="A98" s="16" t="s">
        <v>578</v>
      </c>
      <c r="B98" s="1">
        <v>1</v>
      </c>
      <c r="E98" s="1">
        <v>1</v>
      </c>
      <c r="F98"/>
    </row>
    <row r="99" spans="1:6">
      <c r="A99" s="16" t="s">
        <v>574</v>
      </c>
      <c r="B99" s="1">
        <v>1</v>
      </c>
      <c r="E99" s="1">
        <v>1</v>
      </c>
      <c r="F99"/>
    </row>
    <row r="100" spans="1:6">
      <c r="A100" s="16" t="s">
        <v>557</v>
      </c>
      <c r="B100" s="1">
        <v>1</v>
      </c>
      <c r="E100" s="1">
        <v>1</v>
      </c>
      <c r="F100"/>
    </row>
    <row r="101" spans="1:6">
      <c r="A101" s="16" t="s">
        <v>1568</v>
      </c>
      <c r="F101"/>
    </row>
    <row r="102" spans="1:6">
      <c r="A102" s="16" t="s">
        <v>561</v>
      </c>
      <c r="B102" s="1">
        <v>1</v>
      </c>
      <c r="E102" s="1">
        <v>1</v>
      </c>
      <c r="F102"/>
    </row>
    <row r="103" spans="1:6">
      <c r="A103" s="16" t="s">
        <v>564</v>
      </c>
      <c r="B103" s="1">
        <v>1</v>
      </c>
      <c r="E103" s="1">
        <v>1</v>
      </c>
      <c r="F103"/>
    </row>
    <row r="104" spans="1:6">
      <c r="A104" s="16" t="s">
        <v>566</v>
      </c>
      <c r="B104" s="1">
        <v>1</v>
      </c>
      <c r="E104" s="1">
        <v>1</v>
      </c>
      <c r="F104"/>
    </row>
    <row r="105" spans="1:6">
      <c r="A105" s="16" t="s">
        <v>568</v>
      </c>
      <c r="B105" s="1">
        <v>1</v>
      </c>
      <c r="E105" s="1">
        <v>1</v>
      </c>
      <c r="F105"/>
    </row>
    <row r="106" spans="1:6">
      <c r="A106" s="16" t="s">
        <v>672</v>
      </c>
      <c r="F106"/>
    </row>
    <row r="107" spans="1:6">
      <c r="A107" s="16" t="s">
        <v>1569</v>
      </c>
      <c r="F107"/>
    </row>
    <row r="108" spans="1:6">
      <c r="A108" s="3" t="s">
        <v>609</v>
      </c>
      <c r="B108" s="1">
        <v>2</v>
      </c>
      <c r="E108" s="1">
        <v>2</v>
      </c>
      <c r="F108"/>
    </row>
    <row r="109" spans="1:6">
      <c r="A109" s="16" t="s">
        <v>612</v>
      </c>
      <c r="F109"/>
    </row>
    <row r="110" spans="1:6">
      <c r="A110" s="16" t="s">
        <v>614</v>
      </c>
      <c r="B110" s="1">
        <v>1</v>
      </c>
      <c r="E110" s="1">
        <v>1</v>
      </c>
      <c r="F110"/>
    </row>
    <row r="111" spans="1:6">
      <c r="A111" s="16" t="s">
        <v>852</v>
      </c>
      <c r="B111" s="1">
        <v>1</v>
      </c>
      <c r="E111" s="1">
        <v>1</v>
      </c>
      <c r="F111"/>
    </row>
    <row r="112" spans="1:6">
      <c r="A112" s="16" t="s">
        <v>821</v>
      </c>
      <c r="F112"/>
    </row>
    <row r="113" spans="1:6">
      <c r="A113" s="16" t="s">
        <v>1027</v>
      </c>
      <c r="F113"/>
    </row>
    <row r="114" spans="1:6">
      <c r="A114" s="3" t="s">
        <v>92</v>
      </c>
      <c r="B114" s="1">
        <v>9</v>
      </c>
      <c r="E114" s="1">
        <v>9</v>
      </c>
      <c r="F114"/>
    </row>
    <row r="115" spans="1:6">
      <c r="A115" s="16" t="s">
        <v>725</v>
      </c>
      <c r="B115" s="1">
        <v>1</v>
      </c>
      <c r="E115" s="1">
        <v>1</v>
      </c>
      <c r="F115"/>
    </row>
    <row r="116" spans="1:6">
      <c r="A116" s="16" t="s">
        <v>723</v>
      </c>
      <c r="B116" s="1">
        <v>1</v>
      </c>
      <c r="E116" s="1">
        <v>1</v>
      </c>
      <c r="F116"/>
    </row>
    <row r="117" spans="1:6">
      <c r="A117" s="16" t="s">
        <v>727</v>
      </c>
      <c r="B117" s="1">
        <v>1</v>
      </c>
      <c r="E117" s="1">
        <v>1</v>
      </c>
      <c r="F117"/>
    </row>
    <row r="118" spans="1:6">
      <c r="A118" s="16" t="s">
        <v>731</v>
      </c>
      <c r="B118" s="1">
        <v>1</v>
      </c>
      <c r="E118" s="1">
        <v>1</v>
      </c>
      <c r="F118"/>
    </row>
    <row r="119" spans="1:6">
      <c r="A119" s="16" t="s">
        <v>729</v>
      </c>
      <c r="B119" s="1">
        <v>1</v>
      </c>
      <c r="E119" s="1">
        <v>1</v>
      </c>
      <c r="F119"/>
    </row>
    <row r="120" spans="1:6">
      <c r="A120" s="16" t="s">
        <v>93</v>
      </c>
      <c r="F120"/>
    </row>
    <row r="121" spans="1:6">
      <c r="A121" s="16" t="s">
        <v>972</v>
      </c>
      <c r="F121"/>
    </row>
    <row r="122" spans="1:6">
      <c r="A122" s="16" t="s">
        <v>721</v>
      </c>
      <c r="B122" s="1">
        <v>4</v>
      </c>
      <c r="E122" s="1">
        <v>4</v>
      </c>
      <c r="F122"/>
    </row>
    <row r="123" spans="1:6">
      <c r="A123" s="3" t="s">
        <v>713</v>
      </c>
      <c r="B123" s="1">
        <v>4</v>
      </c>
      <c r="E123" s="1">
        <v>4</v>
      </c>
      <c r="F123"/>
    </row>
    <row r="124" spans="1:6">
      <c r="A124" s="16" t="s">
        <v>714</v>
      </c>
      <c r="B124" s="1">
        <v>1</v>
      </c>
      <c r="E124" s="1">
        <v>1</v>
      </c>
      <c r="F124"/>
    </row>
    <row r="125" spans="1:6">
      <c r="A125" s="16" t="s">
        <v>720</v>
      </c>
      <c r="B125" s="1">
        <v>1</v>
      </c>
      <c r="E125" s="1">
        <v>1</v>
      </c>
      <c r="F125"/>
    </row>
    <row r="126" spans="1:6">
      <c r="A126" s="16" t="s">
        <v>718</v>
      </c>
      <c r="B126" s="1">
        <v>1</v>
      </c>
      <c r="E126" s="1">
        <v>1</v>
      </c>
      <c r="F126"/>
    </row>
    <row r="127" spans="1:6">
      <c r="A127" s="16" t="s">
        <v>716</v>
      </c>
      <c r="B127" s="1">
        <v>1</v>
      </c>
      <c r="E127" s="1">
        <v>1</v>
      </c>
      <c r="F127"/>
    </row>
    <row r="128" spans="1:6">
      <c r="A128" s="3" t="s">
        <v>699</v>
      </c>
      <c r="B128" s="1">
        <v>7</v>
      </c>
      <c r="E128" s="1">
        <v>7</v>
      </c>
      <c r="F128"/>
    </row>
    <row r="129" spans="1:6">
      <c r="A129" s="16" t="s">
        <v>709</v>
      </c>
      <c r="B129" s="1">
        <v>1</v>
      </c>
      <c r="E129" s="1">
        <v>1</v>
      </c>
      <c r="F129"/>
    </row>
    <row r="130" spans="1:6">
      <c r="A130" s="16" t="s">
        <v>705</v>
      </c>
      <c r="B130" s="1">
        <v>1</v>
      </c>
      <c r="E130" s="1">
        <v>1</v>
      </c>
      <c r="F130"/>
    </row>
    <row r="131" spans="1:6">
      <c r="A131" s="16" t="s">
        <v>700</v>
      </c>
      <c r="B131" s="1">
        <v>1</v>
      </c>
      <c r="E131" s="1">
        <v>1</v>
      </c>
      <c r="F131"/>
    </row>
    <row r="132" spans="1:6">
      <c r="A132" s="16" t="s">
        <v>958</v>
      </c>
      <c r="F132"/>
    </row>
    <row r="133" spans="1:6">
      <c r="A133" s="16" t="s">
        <v>707</v>
      </c>
      <c r="B133" s="1">
        <v>1</v>
      </c>
      <c r="E133" s="1">
        <v>1</v>
      </c>
      <c r="F133"/>
    </row>
    <row r="134" spans="1:6">
      <c r="A134" s="16" t="s">
        <v>711</v>
      </c>
      <c r="F134"/>
    </row>
    <row r="135" spans="1:6">
      <c r="A135" s="16" t="s">
        <v>701</v>
      </c>
      <c r="B135" s="1">
        <v>3</v>
      </c>
      <c r="E135" s="1">
        <v>3</v>
      </c>
      <c r="F135"/>
    </row>
    <row r="136" spans="1:6">
      <c r="A136" s="3" t="s">
        <v>745</v>
      </c>
      <c r="B136" s="1">
        <v>6</v>
      </c>
      <c r="E136" s="1">
        <v>6</v>
      </c>
      <c r="F136"/>
    </row>
    <row r="137" spans="1:6">
      <c r="A137" s="16" t="s">
        <v>875</v>
      </c>
      <c r="B137" s="1">
        <v>1</v>
      </c>
      <c r="E137" s="1">
        <v>1</v>
      </c>
      <c r="F137"/>
    </row>
    <row r="138" spans="1:6">
      <c r="A138" s="16" t="s">
        <v>751</v>
      </c>
      <c r="B138" s="1">
        <v>1</v>
      </c>
      <c r="E138" s="1">
        <v>1</v>
      </c>
      <c r="F138"/>
    </row>
    <row r="139" spans="1:6">
      <c r="A139" s="16" t="s">
        <v>749</v>
      </c>
      <c r="B139" s="1">
        <v>1</v>
      </c>
      <c r="E139" s="1">
        <v>1</v>
      </c>
      <c r="F139"/>
    </row>
    <row r="140" spans="1:6">
      <c r="A140" s="16" t="s">
        <v>746</v>
      </c>
      <c r="B140" s="1">
        <v>1</v>
      </c>
      <c r="E140" s="1">
        <v>1</v>
      </c>
      <c r="F140"/>
    </row>
    <row r="141" spans="1:6">
      <c r="A141" s="16" t="s">
        <v>753</v>
      </c>
      <c r="B141" s="1">
        <v>1</v>
      </c>
      <c r="E141" s="1">
        <v>1</v>
      </c>
      <c r="F141"/>
    </row>
    <row r="142" spans="1:6">
      <c r="A142" s="16" t="s">
        <v>869</v>
      </c>
      <c r="F142"/>
    </row>
    <row r="143" spans="1:6">
      <c r="A143" s="16" t="s">
        <v>871</v>
      </c>
      <c r="F143"/>
    </row>
    <row r="144" spans="1:6">
      <c r="A144" s="16" t="s">
        <v>873</v>
      </c>
      <c r="B144" s="1">
        <v>1</v>
      </c>
      <c r="E144" s="1">
        <v>1</v>
      </c>
      <c r="F144"/>
    </row>
    <row r="145" spans="1:6">
      <c r="A145" s="16" t="s">
        <v>747</v>
      </c>
      <c r="F145"/>
    </row>
    <row r="146" spans="1:6">
      <c r="A146" s="3" t="s">
        <v>428</v>
      </c>
      <c r="B146" s="1">
        <v>7</v>
      </c>
      <c r="E146" s="1">
        <v>7</v>
      </c>
      <c r="F146"/>
    </row>
    <row r="147" spans="1:6">
      <c r="A147" s="16" t="s">
        <v>741</v>
      </c>
      <c r="B147" s="1">
        <v>1</v>
      </c>
      <c r="E147" s="1">
        <v>1</v>
      </c>
      <c r="F147"/>
    </row>
    <row r="148" spans="1:6">
      <c r="A148" s="16" t="s">
        <v>739</v>
      </c>
      <c r="B148" s="1">
        <v>1</v>
      </c>
      <c r="E148" s="1">
        <v>1</v>
      </c>
      <c r="F148"/>
    </row>
    <row r="149" spans="1:6">
      <c r="A149" s="16" t="s">
        <v>733</v>
      </c>
      <c r="B149" s="1">
        <v>1</v>
      </c>
      <c r="E149" s="1">
        <v>1</v>
      </c>
      <c r="F149"/>
    </row>
    <row r="150" spans="1:6">
      <c r="A150" s="16" t="s">
        <v>737</v>
      </c>
      <c r="B150" s="1">
        <v>1</v>
      </c>
      <c r="E150" s="1">
        <v>1</v>
      </c>
      <c r="F150"/>
    </row>
    <row r="151" spans="1:6">
      <c r="A151" s="16" t="s">
        <v>743</v>
      </c>
      <c r="B151" s="1">
        <v>1</v>
      </c>
      <c r="E151" s="1">
        <v>1</v>
      </c>
      <c r="F151"/>
    </row>
    <row r="152" spans="1:6">
      <c r="A152" s="16" t="s">
        <v>735</v>
      </c>
      <c r="B152" s="1">
        <v>1</v>
      </c>
      <c r="E152" s="1">
        <v>1</v>
      </c>
      <c r="F152"/>
    </row>
    <row r="153" spans="1:6">
      <c r="A153" s="16" t="s">
        <v>429</v>
      </c>
      <c r="B153" s="1">
        <v>1</v>
      </c>
      <c r="E153" s="1">
        <v>1</v>
      </c>
      <c r="F153"/>
    </row>
    <row r="154" spans="1:6">
      <c r="A154" s="3" t="s">
        <v>606</v>
      </c>
      <c r="B154" s="1">
        <v>5</v>
      </c>
      <c r="E154" s="1">
        <v>5</v>
      </c>
      <c r="F154"/>
    </row>
    <row r="155" spans="1:6">
      <c r="A155" s="16" t="s">
        <v>607</v>
      </c>
      <c r="B155" s="1">
        <v>1</v>
      </c>
      <c r="E155" s="1">
        <v>1</v>
      </c>
      <c r="F155"/>
    </row>
    <row r="156" spans="1:6">
      <c r="A156" s="16" t="s">
        <v>756</v>
      </c>
      <c r="B156" s="1">
        <v>1</v>
      </c>
      <c r="E156" s="1">
        <v>1</v>
      </c>
      <c r="F156"/>
    </row>
    <row r="157" spans="1:6">
      <c r="A157" s="16" t="s">
        <v>766</v>
      </c>
      <c r="B157" s="1">
        <v>1</v>
      </c>
      <c r="E157" s="1">
        <v>1</v>
      </c>
      <c r="F157"/>
    </row>
    <row r="158" spans="1:6">
      <c r="A158" s="16" t="s">
        <v>764</v>
      </c>
      <c r="B158" s="1">
        <v>1</v>
      </c>
      <c r="E158" s="1">
        <v>1</v>
      </c>
      <c r="F158"/>
    </row>
    <row r="159" spans="1:6">
      <c r="A159" s="16" t="s">
        <v>762</v>
      </c>
      <c r="B159" s="1">
        <v>1</v>
      </c>
      <c r="E159" s="1">
        <v>1</v>
      </c>
      <c r="F159"/>
    </row>
    <row r="160" spans="1:6">
      <c r="A160" s="3" t="s">
        <v>768</v>
      </c>
      <c r="B160" s="1">
        <v>4</v>
      </c>
      <c r="E160" s="1">
        <v>4</v>
      </c>
      <c r="F160"/>
    </row>
    <row r="161" spans="1:6">
      <c r="A161" s="16" t="s">
        <v>773</v>
      </c>
      <c r="B161" s="1">
        <v>1</v>
      </c>
      <c r="E161" s="1">
        <v>1</v>
      </c>
      <c r="F161"/>
    </row>
    <row r="162" spans="1:6">
      <c r="A162" s="16" t="s">
        <v>769</v>
      </c>
      <c r="B162" s="1">
        <v>1</v>
      </c>
      <c r="E162" s="1">
        <v>1</v>
      </c>
      <c r="F162"/>
    </row>
    <row r="163" spans="1:6">
      <c r="A163" s="16" t="s">
        <v>771</v>
      </c>
      <c r="B163" s="1">
        <v>1</v>
      </c>
      <c r="E163" s="1">
        <v>1</v>
      </c>
      <c r="F163"/>
    </row>
    <row r="164" spans="1:6">
      <c r="A164" s="16" t="s">
        <v>775</v>
      </c>
      <c r="B164" s="1">
        <v>1</v>
      </c>
      <c r="E164" s="1">
        <v>1</v>
      </c>
      <c r="F164"/>
    </row>
    <row r="165" spans="1:6">
      <c r="A165" s="16" t="s">
        <v>610</v>
      </c>
      <c r="F165"/>
    </row>
    <row r="166" spans="1:6">
      <c r="A166" s="3" t="s">
        <v>759</v>
      </c>
      <c r="B166" s="1">
        <v>4</v>
      </c>
      <c r="E166" s="1">
        <v>4</v>
      </c>
      <c r="F166"/>
    </row>
    <row r="167" spans="1:6">
      <c r="A167" s="16" t="s">
        <v>783</v>
      </c>
      <c r="B167" s="1">
        <v>1</v>
      </c>
      <c r="E167" s="1">
        <v>1</v>
      </c>
      <c r="F167"/>
    </row>
    <row r="168" spans="1:6">
      <c r="A168" s="16" t="s">
        <v>760</v>
      </c>
      <c r="B168" s="1">
        <v>1</v>
      </c>
      <c r="E168" s="1">
        <v>1</v>
      </c>
      <c r="F168"/>
    </row>
    <row r="169" spans="1:6">
      <c r="A169" s="16" t="s">
        <v>785</v>
      </c>
      <c r="B169" s="1">
        <v>1</v>
      </c>
      <c r="E169" s="1">
        <v>1</v>
      </c>
      <c r="F169"/>
    </row>
    <row r="170" spans="1:6">
      <c r="A170" s="16" t="s">
        <v>781</v>
      </c>
      <c r="B170" s="1">
        <v>1</v>
      </c>
      <c r="E170" s="1">
        <v>1</v>
      </c>
      <c r="F170"/>
    </row>
    <row r="171" spans="1:6">
      <c r="A171" s="3" t="s">
        <v>816</v>
      </c>
      <c r="B171" s="1">
        <v>6</v>
      </c>
      <c r="E171" s="1">
        <v>6</v>
      </c>
      <c r="F171"/>
    </row>
    <row r="172" spans="1:6">
      <c r="A172" s="16" t="s">
        <v>817</v>
      </c>
      <c r="B172" s="1">
        <v>1</v>
      </c>
      <c r="E172" s="1">
        <v>1</v>
      </c>
      <c r="F172"/>
    </row>
    <row r="173" spans="1:6">
      <c r="A173" s="16" t="s">
        <v>676</v>
      </c>
      <c r="B173" s="1">
        <v>1</v>
      </c>
      <c r="E173" s="1">
        <v>1</v>
      </c>
      <c r="F173"/>
    </row>
    <row r="174" spans="1:6">
      <c r="A174" s="16" t="s">
        <v>819</v>
      </c>
      <c r="B174" s="1">
        <v>1</v>
      </c>
      <c r="E174" s="1">
        <v>1</v>
      </c>
      <c r="F174"/>
    </row>
    <row r="175" spans="1:6">
      <c r="A175" s="16" t="s">
        <v>823</v>
      </c>
      <c r="B175" s="1">
        <v>1</v>
      </c>
      <c r="E175" s="1">
        <v>1</v>
      </c>
      <c r="F175"/>
    </row>
    <row r="176" spans="1:6">
      <c r="A176" s="16" t="s">
        <v>827</v>
      </c>
      <c r="B176" s="1">
        <v>1</v>
      </c>
      <c r="E176" s="1">
        <v>1</v>
      </c>
      <c r="F176"/>
    </row>
    <row r="177" spans="1:6">
      <c r="A177" s="16" t="s">
        <v>825</v>
      </c>
      <c r="B177" s="1">
        <v>1</v>
      </c>
      <c r="E177" s="1">
        <v>1</v>
      </c>
      <c r="F177"/>
    </row>
    <row r="178" spans="1:6">
      <c r="A178" s="3" t="s">
        <v>369</v>
      </c>
      <c r="B178" s="1">
        <v>9</v>
      </c>
      <c r="E178" s="1">
        <v>9</v>
      </c>
      <c r="F178"/>
    </row>
    <row r="179" spans="1:6">
      <c r="A179" s="16" t="s">
        <v>370</v>
      </c>
      <c r="B179" s="1">
        <v>1</v>
      </c>
      <c r="E179" s="1">
        <v>1</v>
      </c>
      <c r="F179"/>
    </row>
    <row r="180" spans="1:6">
      <c r="A180" s="16" t="s">
        <v>811</v>
      </c>
      <c r="B180" s="1">
        <v>1</v>
      </c>
      <c r="E180" s="1">
        <v>1</v>
      </c>
      <c r="F180"/>
    </row>
    <row r="181" spans="1:6">
      <c r="A181" s="16" t="s">
        <v>794</v>
      </c>
      <c r="B181" s="1">
        <v>1</v>
      </c>
      <c r="E181" s="1">
        <v>1</v>
      </c>
      <c r="F181"/>
    </row>
    <row r="182" spans="1:6">
      <c r="A182" s="16" t="s">
        <v>803</v>
      </c>
      <c r="B182" s="1">
        <v>1</v>
      </c>
      <c r="E182" s="1">
        <v>1</v>
      </c>
      <c r="F182"/>
    </row>
    <row r="183" spans="1:6">
      <c r="A183" s="16" t="s">
        <v>808</v>
      </c>
      <c r="B183" s="1">
        <v>1</v>
      </c>
      <c r="E183" s="1">
        <v>1</v>
      </c>
      <c r="F183"/>
    </row>
    <row r="184" spans="1:6">
      <c r="A184" s="16" t="s">
        <v>1045</v>
      </c>
      <c r="B184" s="1">
        <v>1</v>
      </c>
      <c r="E184" s="1">
        <v>1</v>
      </c>
      <c r="F184"/>
    </row>
    <row r="185" spans="1:6">
      <c r="A185" s="16" t="s">
        <v>798</v>
      </c>
      <c r="B185" s="1">
        <v>1</v>
      </c>
      <c r="E185" s="1">
        <v>1</v>
      </c>
      <c r="F185"/>
    </row>
    <row r="186" spans="1:6">
      <c r="A186" s="16" t="s">
        <v>814</v>
      </c>
      <c r="B186" s="1">
        <v>1</v>
      </c>
      <c r="E186" s="1">
        <v>1</v>
      </c>
      <c r="F186"/>
    </row>
    <row r="187" spans="1:6">
      <c r="A187" s="16" t="s">
        <v>374</v>
      </c>
      <c r="F187"/>
    </row>
    <row r="188" spans="1:6">
      <c r="A188" s="16" t="s">
        <v>806</v>
      </c>
      <c r="B188" s="1">
        <v>1</v>
      </c>
      <c r="E188" s="1">
        <v>1</v>
      </c>
      <c r="F188"/>
    </row>
    <row r="189" spans="1:6">
      <c r="A189" s="3" t="s">
        <v>617</v>
      </c>
      <c r="B189" s="1">
        <v>3</v>
      </c>
      <c r="E189" s="1">
        <v>3</v>
      </c>
      <c r="F189"/>
    </row>
    <row r="190" spans="1:6">
      <c r="A190" s="16" t="s">
        <v>788</v>
      </c>
      <c r="B190" s="1">
        <v>1</v>
      </c>
      <c r="E190" s="1">
        <v>1</v>
      </c>
      <c r="F190"/>
    </row>
    <row r="191" spans="1:6">
      <c r="A191" s="16" t="s">
        <v>618</v>
      </c>
      <c r="B191" s="1">
        <v>1</v>
      </c>
      <c r="E191" s="1">
        <v>1</v>
      </c>
      <c r="F191"/>
    </row>
    <row r="192" spans="1:6">
      <c r="A192" s="16" t="s">
        <v>621</v>
      </c>
      <c r="B192" s="1">
        <v>1</v>
      </c>
      <c r="E192" s="1">
        <v>1</v>
      </c>
      <c r="F192"/>
    </row>
    <row r="193" spans="1:5" customFormat="1">
      <c r="A193" s="3" t="s">
        <v>292</v>
      </c>
      <c r="B193" s="1">
        <v>3</v>
      </c>
      <c r="C193" s="1"/>
      <c r="D193" s="1"/>
      <c r="E193" s="1">
        <v>3</v>
      </c>
    </row>
    <row r="194" spans="1:5" customFormat="1">
      <c r="A194" s="16" t="s">
        <v>629</v>
      </c>
      <c r="B194" s="1">
        <v>1</v>
      </c>
      <c r="C194" s="1"/>
      <c r="D194" s="1"/>
      <c r="E194" s="1">
        <v>1</v>
      </c>
    </row>
    <row r="195" spans="1:5" customFormat="1">
      <c r="A195" s="16" t="s">
        <v>631</v>
      </c>
      <c r="B195" s="1">
        <v>1</v>
      </c>
      <c r="C195" s="1"/>
      <c r="D195" s="1"/>
      <c r="E195" s="1">
        <v>1</v>
      </c>
    </row>
    <row r="196" spans="1:5" customFormat="1">
      <c r="A196" s="16" t="s">
        <v>633</v>
      </c>
      <c r="B196" s="1">
        <v>1</v>
      </c>
      <c r="C196" s="1"/>
      <c r="D196" s="1"/>
      <c r="E196" s="1">
        <v>1</v>
      </c>
    </row>
    <row r="197" spans="1:5" customFormat="1">
      <c r="A197" s="16" t="s">
        <v>293</v>
      </c>
      <c r="B197" s="1"/>
      <c r="C197" s="1"/>
      <c r="D197" s="1"/>
      <c r="E197" s="1"/>
    </row>
    <row r="198" spans="1:5" customFormat="1">
      <c r="A198" s="3" t="s">
        <v>43</v>
      </c>
      <c r="B198" s="1">
        <v>5</v>
      </c>
      <c r="C198" s="1"/>
      <c r="D198" s="1"/>
      <c r="E198" s="1">
        <v>5</v>
      </c>
    </row>
    <row r="199" spans="1:5" customFormat="1">
      <c r="A199" s="16" t="s">
        <v>1570</v>
      </c>
      <c r="B199" s="1">
        <v>1</v>
      </c>
      <c r="C199" s="1"/>
      <c r="D199" s="1"/>
      <c r="E199" s="1">
        <v>1</v>
      </c>
    </row>
    <row r="200" spans="1:5" customFormat="1">
      <c r="A200" s="16" t="s">
        <v>56</v>
      </c>
      <c r="B200" s="1">
        <v>1</v>
      </c>
      <c r="C200" s="1"/>
      <c r="D200" s="1"/>
      <c r="E200" s="1">
        <v>1</v>
      </c>
    </row>
    <row r="201" spans="1:5" customFormat="1">
      <c r="A201" s="16" t="s">
        <v>64</v>
      </c>
      <c r="B201" s="1">
        <v>1</v>
      </c>
      <c r="C201" s="1"/>
      <c r="D201" s="1"/>
      <c r="E201" s="1">
        <v>1</v>
      </c>
    </row>
    <row r="202" spans="1:5" customFormat="1">
      <c r="A202" s="16" t="s">
        <v>44</v>
      </c>
      <c r="B202" s="1">
        <v>1</v>
      </c>
      <c r="C202" s="1"/>
      <c r="D202" s="1"/>
      <c r="E202" s="1">
        <v>1</v>
      </c>
    </row>
    <row r="203" spans="1:5" customFormat="1">
      <c r="A203" s="16" t="s">
        <v>53</v>
      </c>
      <c r="B203" s="1"/>
      <c r="C203" s="1"/>
      <c r="D203" s="1"/>
      <c r="E203" s="1"/>
    </row>
    <row r="204" spans="1:5" customFormat="1">
      <c r="A204" s="16" t="s">
        <v>60</v>
      </c>
      <c r="B204" s="1">
        <v>1</v>
      </c>
      <c r="C204" s="1"/>
      <c r="D204" s="1"/>
      <c r="E204" s="1">
        <v>1</v>
      </c>
    </row>
    <row r="205" spans="1:5" customFormat="1">
      <c r="A205" s="16" t="s">
        <v>103</v>
      </c>
      <c r="B205" s="1"/>
      <c r="C205" s="1"/>
      <c r="D205" s="1"/>
      <c r="E205" s="1"/>
    </row>
    <row r="206" spans="1:5" customFormat="1">
      <c r="A206" s="3" t="s">
        <v>234</v>
      </c>
      <c r="B206" s="1">
        <v>4</v>
      </c>
      <c r="C206" s="1"/>
      <c r="D206" s="1"/>
      <c r="E206" s="1">
        <v>4</v>
      </c>
    </row>
    <row r="207" spans="1:5" customFormat="1">
      <c r="A207" s="16" t="s">
        <v>240</v>
      </c>
      <c r="B207" s="1">
        <v>1</v>
      </c>
      <c r="C207" s="1"/>
      <c r="D207" s="1"/>
      <c r="E207" s="1">
        <v>1</v>
      </c>
    </row>
    <row r="208" spans="1:5" customFormat="1">
      <c r="A208" s="16" t="s">
        <v>242</v>
      </c>
      <c r="B208" s="1">
        <v>1</v>
      </c>
      <c r="C208" s="1"/>
      <c r="D208" s="1"/>
      <c r="E208" s="1">
        <v>1</v>
      </c>
    </row>
    <row r="209" spans="1:5" customFormat="1">
      <c r="A209" s="16" t="s">
        <v>235</v>
      </c>
      <c r="B209" s="1">
        <v>1</v>
      </c>
      <c r="C209" s="1"/>
      <c r="D209" s="1"/>
      <c r="E209" s="1">
        <v>1</v>
      </c>
    </row>
    <row r="210" spans="1:5" customFormat="1">
      <c r="A210" s="16" t="s">
        <v>238</v>
      </c>
      <c r="B210" s="1">
        <v>1</v>
      </c>
      <c r="C210" s="1"/>
      <c r="D210" s="1"/>
      <c r="E210" s="1">
        <v>1</v>
      </c>
    </row>
    <row r="211" spans="1:5" customFormat="1">
      <c r="A211" s="3" t="s">
        <v>1564</v>
      </c>
      <c r="B211" s="1">
        <v>147</v>
      </c>
      <c r="C211" s="1"/>
      <c r="D211" s="1"/>
      <c r="E211" s="1">
        <v>147</v>
      </c>
    </row>
    <row r="212" spans="1:5" customFormat="1"/>
    <row r="213" spans="1:5" customFormat="1"/>
    <row r="214" spans="1:5" customFormat="1"/>
    <row r="215" spans="1:5" customFormat="1"/>
    <row r="216" spans="1:5" customFormat="1"/>
    <row r="217" spans="1:5" customFormat="1"/>
    <row r="218" spans="1:5" customFormat="1"/>
    <row r="219" spans="1:5" customFormat="1"/>
    <row r="220" spans="1:5" customFormat="1"/>
    <row r="221" spans="1:5" customFormat="1"/>
    <row r="222" spans="1:5" customFormat="1"/>
    <row r="223" spans="1:5" customFormat="1"/>
    <row r="224" spans="1:5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</sheetData>
  <pageMargins left="0.7" right="0.7" top="0.75" bottom="0.75" header="0.3" footer="0.3"/>
  <headerFooter>
    <oddFooter>&amp;L_x000D_&amp;1#&amp;"Calibri"&amp;10&amp;K000000 Uso Interno: Sólo los empleados o personal externo debidamente autorizado tienen acceso.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B598-6E18-4716-8B3A-FCB41E2AA958}">
  <sheetPr codeName="Hoja5"/>
  <dimension ref="A1:A2"/>
  <sheetViews>
    <sheetView workbookViewId="0">
      <selection activeCell="H24" sqref="H24"/>
    </sheetView>
  </sheetViews>
  <sheetFormatPr defaultColWidth="8.7109375" defaultRowHeight="14.45"/>
  <sheetData>
    <row r="1" spans="1:1">
      <c r="A1" t="e" cm="1">
        <f t="array" aca="1" ref="A1" ca="1">CELL("filename",A1)</f>
        <v>#VALUE!</v>
      </c>
    </row>
    <row r="2" spans="1:1">
      <c r="A2" s="5" t="e">
        <f ca="1">DATE(
 RIGHT(MID(MID(A1,FIND("[",A1)+1,FIND("]",A1)-FIND("[",A1)-1),SEARCH(".xl",MID(A1,FIND("[",A1)+1,FIND("]",A1)-FIND("[",A1)-1))-7,7),4),
 LEFT(MID(MID(A1,FIND("[",A1)+1,FIND("]",A1)-FIND("[",A1)-1),SEARCH(".xl",MID(A1,FIND("[",A1)+1,FIND("]",A1)-FIND("[",A1)-1))-7,7),2),
 1
)</f>
        <v>#VALUE!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5E0C-2305-42CE-96F5-0C334911B7A9}">
  <sheetPr codeName="Hoja3"/>
  <dimension ref="A1:J18"/>
  <sheetViews>
    <sheetView workbookViewId="0">
      <selection activeCell="C39" sqref="C39"/>
    </sheetView>
  </sheetViews>
  <sheetFormatPr defaultColWidth="8.85546875" defaultRowHeight="14.45"/>
  <cols>
    <col min="1" max="1" width="9.42578125" bestFit="1" customWidth="1"/>
    <col min="2" max="2" width="11" style="1" bestFit="1" customWidth="1"/>
    <col min="3" max="3" width="38.7109375" bestFit="1" customWidth="1"/>
    <col min="4" max="4" width="11.28515625" bestFit="1" customWidth="1"/>
    <col min="5" max="5" width="34.28515625" bestFit="1" customWidth="1"/>
    <col min="6" max="6" width="23.7109375" bestFit="1" customWidth="1"/>
    <col min="7" max="7" width="32.140625" bestFit="1" customWidth="1"/>
    <col min="8" max="8" width="14.28515625" bestFit="1" customWidth="1"/>
    <col min="9" max="9" width="27.5703125" bestFit="1" customWidth="1"/>
    <col min="10" max="10" width="12.42578125" customWidth="1"/>
  </cols>
  <sheetData>
    <row r="1" spans="1:10">
      <c r="B1" s="1" t="s">
        <v>1571</v>
      </c>
      <c r="C1" t="s">
        <v>1572</v>
      </c>
      <c r="D1" t="s">
        <v>1573</v>
      </c>
      <c r="E1" t="s">
        <v>1574</v>
      </c>
      <c r="F1" t="s">
        <v>1575</v>
      </c>
      <c r="G1" t="s">
        <v>1576</v>
      </c>
    </row>
    <row r="2" spans="1:10">
      <c r="A2" s="5">
        <v>45798</v>
      </c>
      <c r="B2" s="1">
        <v>3392969</v>
      </c>
      <c r="G2" t="s">
        <v>1577</v>
      </c>
    </row>
    <row r="3" spans="1:10">
      <c r="A3" s="5">
        <v>45798</v>
      </c>
      <c r="B3" s="1">
        <v>3393023</v>
      </c>
      <c r="C3" t="s">
        <v>1578</v>
      </c>
      <c r="G3" t="s">
        <v>1577</v>
      </c>
    </row>
    <row r="4" spans="1:10">
      <c r="G4" t="s">
        <v>1579</v>
      </c>
    </row>
    <row r="9" spans="1:10">
      <c r="A9" s="7" t="s">
        <v>1580</v>
      </c>
      <c r="B9" s="7" t="s">
        <v>1581</v>
      </c>
      <c r="C9" s="7" t="s">
        <v>1582</v>
      </c>
      <c r="D9" s="7" t="s">
        <v>1574</v>
      </c>
      <c r="E9" s="7" t="s">
        <v>1583</v>
      </c>
      <c r="F9" s="7" t="s">
        <v>1584</v>
      </c>
      <c r="G9" s="7" t="s">
        <v>1585</v>
      </c>
      <c r="H9" s="7" t="s">
        <v>1586</v>
      </c>
      <c r="I9" s="7" t="s">
        <v>1587</v>
      </c>
    </row>
    <row r="10" spans="1:10">
      <c r="A10" s="6">
        <v>1</v>
      </c>
      <c r="B10">
        <v>3392814</v>
      </c>
      <c r="C10" t="s">
        <v>1588</v>
      </c>
      <c r="D10" t="s">
        <v>116</v>
      </c>
      <c r="E10" t="s">
        <v>1589</v>
      </c>
      <c r="F10" t="s">
        <v>138</v>
      </c>
      <c r="G10" t="s">
        <v>138</v>
      </c>
      <c r="H10" t="s">
        <v>1590</v>
      </c>
      <c r="I10" t="s">
        <v>135</v>
      </c>
      <c r="J10" t="e">
        <f>VLOOKUP(B10,#REF!,13,0)</f>
        <v>#REF!</v>
      </c>
    </row>
    <row r="11" spans="1:10">
      <c r="A11" s="6">
        <v>1</v>
      </c>
      <c r="B11" s="8">
        <v>3393032</v>
      </c>
      <c r="C11" t="s">
        <v>1591</v>
      </c>
      <c r="D11" t="s">
        <v>92</v>
      </c>
      <c r="E11" t="s">
        <v>1592</v>
      </c>
      <c r="F11" t="s">
        <v>1593</v>
      </c>
      <c r="G11" t="s">
        <v>1594</v>
      </c>
      <c r="H11" t="s">
        <v>1590</v>
      </c>
      <c r="I11" t="s">
        <v>1595</v>
      </c>
      <c r="J11" t="e">
        <f>VLOOKUP(B11,#REF!,13,0)</f>
        <v>#REF!</v>
      </c>
    </row>
    <row r="12" spans="1:10">
      <c r="A12" s="6">
        <v>1</v>
      </c>
      <c r="B12" s="8">
        <v>3392884</v>
      </c>
      <c r="C12" t="s">
        <v>1596</v>
      </c>
      <c r="D12" t="s">
        <v>420</v>
      </c>
      <c r="E12" t="s">
        <v>1592</v>
      </c>
      <c r="F12" t="s">
        <v>1593</v>
      </c>
      <c r="G12" t="s">
        <v>1594</v>
      </c>
      <c r="H12" t="s">
        <v>1590</v>
      </c>
      <c r="I12" t="s">
        <v>75</v>
      </c>
      <c r="J12" t="e">
        <f>VLOOKUP(B12,#REF!,13,0)</f>
        <v>#REF!</v>
      </c>
    </row>
    <row r="13" spans="1:10">
      <c r="A13" s="6">
        <v>1</v>
      </c>
      <c r="B13">
        <v>3393037</v>
      </c>
      <c r="C13" t="s">
        <v>1597</v>
      </c>
      <c r="D13" t="s">
        <v>428</v>
      </c>
      <c r="E13" t="s">
        <v>1592</v>
      </c>
      <c r="F13" t="s">
        <v>1593</v>
      </c>
      <c r="G13" t="s">
        <v>1594</v>
      </c>
      <c r="H13" t="s">
        <v>1590</v>
      </c>
      <c r="I13" t="s">
        <v>1595</v>
      </c>
      <c r="J13" t="e">
        <f>VLOOKUP(B13,#REF!,13,0)</f>
        <v>#REF!</v>
      </c>
    </row>
    <row r="14" spans="1:10">
      <c r="A14" s="6">
        <v>1</v>
      </c>
      <c r="B14">
        <v>3392953</v>
      </c>
      <c r="C14" t="s">
        <v>1598</v>
      </c>
      <c r="D14" t="s">
        <v>536</v>
      </c>
      <c r="E14" t="s">
        <v>1592</v>
      </c>
      <c r="F14" t="s">
        <v>1593</v>
      </c>
      <c r="G14" t="s">
        <v>1599</v>
      </c>
      <c r="H14" t="s">
        <v>1590</v>
      </c>
      <c r="I14" t="s">
        <v>84</v>
      </c>
      <c r="J14" t="e">
        <f>VLOOKUP(B14,#REF!,13,0)</f>
        <v>#REF!</v>
      </c>
    </row>
    <row r="15" spans="1:10">
      <c r="A15" s="6">
        <v>1</v>
      </c>
      <c r="B15">
        <v>3392948</v>
      </c>
      <c r="C15" t="s">
        <v>1600</v>
      </c>
      <c r="D15" t="s">
        <v>536</v>
      </c>
      <c r="E15" t="s">
        <v>1592</v>
      </c>
      <c r="F15" t="s">
        <v>1593</v>
      </c>
      <c r="G15" t="s">
        <v>1599</v>
      </c>
      <c r="H15" t="s">
        <v>1590</v>
      </c>
      <c r="I15" t="s">
        <v>84</v>
      </c>
      <c r="J15" t="e">
        <f>VLOOKUP(B15,#REF!,13,0)</f>
        <v>#REF!</v>
      </c>
    </row>
    <row r="16" spans="1:10">
      <c r="A16" s="6">
        <v>1</v>
      </c>
      <c r="B16">
        <v>3392986</v>
      </c>
      <c r="C16" t="s">
        <v>1601</v>
      </c>
      <c r="D16" t="s">
        <v>635</v>
      </c>
      <c r="E16" t="s">
        <v>1592</v>
      </c>
      <c r="F16" t="s">
        <v>1593</v>
      </c>
      <c r="G16" t="s">
        <v>1599</v>
      </c>
      <c r="H16" t="s">
        <v>1590</v>
      </c>
      <c r="I16" t="s">
        <v>80</v>
      </c>
      <c r="J16" t="e">
        <f>VLOOKUP(B16,#REF!,13,0)</f>
        <v>#REF!</v>
      </c>
    </row>
    <row r="17" spans="1:10">
      <c r="A17" s="6">
        <v>1</v>
      </c>
      <c r="B17">
        <v>3392846</v>
      </c>
      <c r="C17" t="s">
        <v>1602</v>
      </c>
      <c r="D17" t="s">
        <v>211</v>
      </c>
      <c r="E17" t="s">
        <v>1592</v>
      </c>
      <c r="F17" t="s">
        <v>1593</v>
      </c>
      <c r="G17" t="s">
        <v>94</v>
      </c>
      <c r="H17" t="s">
        <v>1590</v>
      </c>
      <c r="I17" t="s">
        <v>210</v>
      </c>
      <c r="J17" t="e">
        <f>VLOOKUP(B17,#REF!,13,0)</f>
        <v>#REF!</v>
      </c>
    </row>
    <row r="18" spans="1:10">
      <c r="A18" s="6">
        <v>1</v>
      </c>
      <c r="B18" s="8">
        <v>3401242</v>
      </c>
      <c r="C18" t="s">
        <v>1603</v>
      </c>
      <c r="D18" t="s">
        <v>83</v>
      </c>
      <c r="E18" t="s">
        <v>1592</v>
      </c>
      <c r="F18" t="s">
        <v>1593</v>
      </c>
      <c r="G18" t="s">
        <v>94</v>
      </c>
      <c r="H18" t="s">
        <v>1590</v>
      </c>
      <c r="I18" t="s">
        <v>226</v>
      </c>
      <c r="J18" t="e">
        <f>VLOOKUP(B18,#REF!,13,0)</f>
        <v>#REF!</v>
      </c>
    </row>
  </sheetData>
  <pageMargins left="0.7" right="0.7" top="0.75" bottom="0.75" header="0.3" footer="0.3"/>
  <headerFooter>
    <oddFooter>&amp;L_x000D_&amp;1#&amp;"Calibri"&amp;10&amp;K000000 Uso Interno: Sólo los empleados o personal externo debidamente autorizado tienen acceso.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7FF5D59EA68D4A905AA39D6D988A85" ma:contentTypeVersion="4" ma:contentTypeDescription="Crear nuevo documento." ma:contentTypeScope="" ma:versionID="3d4a5abd82eb773504ecf3e833b8971c">
  <xsd:schema xmlns:xsd="http://www.w3.org/2001/XMLSchema" xmlns:xs="http://www.w3.org/2001/XMLSchema" xmlns:p="http://schemas.microsoft.com/office/2006/metadata/properties" xmlns:ns2="204c1a35-e17d-4dad-9974-20b5662cf0e6" targetNamespace="http://schemas.microsoft.com/office/2006/metadata/properties" ma:root="true" ma:fieldsID="1d7a33b2dcb791674efd0cca6155d42a" ns2:_="">
    <xsd:import namespace="204c1a35-e17d-4dad-9974-20b5662cf0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c1a35-e17d-4dad-9974-20b5662cf0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E14669-859C-464F-8EE4-624E417B1C6D}"/>
</file>

<file path=customXml/itemProps2.xml><?xml version="1.0" encoding="utf-8"?>
<ds:datastoreItem xmlns:ds="http://schemas.openxmlformats.org/officeDocument/2006/customXml" ds:itemID="{2E6BC5FD-13B6-4836-BD5F-A2EE8D9FD9B6}"/>
</file>

<file path=customXml/itemProps3.xml><?xml version="1.0" encoding="utf-8"?>
<ds:datastoreItem xmlns:ds="http://schemas.openxmlformats.org/officeDocument/2006/customXml" ds:itemID="{D6EDBD03-4123-4AC0-BB12-9BCE76B302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Tecpetrol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Abril</dc:creator>
  <cp:keywords/>
  <dc:description/>
  <cp:lastModifiedBy>GILI Arianna</cp:lastModifiedBy>
  <cp:revision/>
  <dcterms:created xsi:type="dcterms:W3CDTF">2025-02-14T14:22:46Z</dcterms:created>
  <dcterms:modified xsi:type="dcterms:W3CDTF">2026-09-14T13:40:12Z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0x010100F57FF5D59EA68D4A905AA39D6D988A85</vt:lpwstr>
  </property>
  <property fmtid="{D5CDD505-2E9C-101B-9397-08002B2CF9AE}" pid="3" name="MSIP_Label_bd27456f-54fe-4952-b490-e72a48cb4d98_Enabled">
    <vt:lpwstr>true</vt:lpwstr>
  </property>
  <property fmtid="{D5CDD505-2E9C-101B-9397-08002B2CF9AE}" pid="4" name="MSIP_Label_bd27456f-54fe-4952-b490-e72a48cb4d98_SetDate">
    <vt:lpwstr>2025-10-16T11:47:16Z</vt:lpwstr>
  </property>
  <property fmtid="{D5CDD505-2E9C-101B-9397-08002B2CF9AE}" pid="5" name="MSIP_Label_bd27456f-54fe-4952-b490-e72a48cb4d98_Method">
    <vt:lpwstr>Standard</vt:lpwstr>
  </property>
  <property fmtid="{D5CDD505-2E9C-101B-9397-08002B2CF9AE}" pid="6" name="MSIP_Label_bd27456f-54fe-4952-b490-e72a48cb4d98_Name">
    <vt:lpwstr>Interno</vt:lpwstr>
  </property>
  <property fmtid="{D5CDD505-2E9C-101B-9397-08002B2CF9AE}" pid="7" name="MSIP_Label_bd27456f-54fe-4952-b490-e72a48cb4d98_SiteId">
    <vt:lpwstr>30e6b430-40f8-4729-bc89-8e30110afb7c</vt:lpwstr>
  </property>
  <property fmtid="{D5CDD505-2E9C-101B-9397-08002B2CF9AE}" pid="8" name="MSIP_Label_bd27456f-54fe-4952-b490-e72a48cb4d98_ActionId">
    <vt:lpwstr>9182cf58-01aa-410b-9621-a175bd31a668</vt:lpwstr>
  </property>
  <property fmtid="{D5CDD505-2E9C-101B-9397-08002B2CF9AE}" pid="9" name="MSIP_Label_bd27456f-54fe-4952-b490-e72a48cb4d98_ContentBits">
    <vt:lpwstr>0</vt:lpwstr>
  </property>
  <property fmtid="{D5CDD505-2E9C-101B-9397-08002B2CF9AE}" pid="10" name="MSIP_Label_bd27456f-54fe-4952-b490-e72a48cb4d98_Tag">
    <vt:lpwstr>10, 3, 0, 2</vt:lpwstr>
  </property>
</Properties>
</file>